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48" windowHeight="9612" activeTab="5"/>
  </bookViews>
  <sheets>
    <sheet name="Planificación" sheetId="1" r:id="rId1"/>
    <sheet name="Riesgos" sheetId="2" r:id="rId2"/>
    <sheet name="G Humana" sheetId="3" r:id="rId3"/>
    <sheet name="Terceros" sheetId="4" r:id="rId4"/>
    <sheet name="Infraestructura" sheetId="5" r:id="rId5"/>
    <sheet name="Sedes" sheetId="7" r:id="rId6"/>
    <sheet name="Desarrollo" sheetId="9" r:id="rId7"/>
    <sheet name="Fisica" sheetId="10" r:id="rId8"/>
    <sheet name="Incidentes" sheetId="11" r:id="rId9"/>
    <sheet name="Continuidad" sheetId="12" r:id="rId10"/>
    <sheet name="Seguimiento" sheetId="13" r:id="rId11"/>
    <sheet name="Mejora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<sst xmlns="http://schemas.openxmlformats.org/spreadsheetml/2006/main" count="929" uniqueCount="283">
  <si>
    <t>Código:</t>
  </si>
  <si>
    <t>FO-860-25</t>
  </si>
  <si>
    <t>LISTA DE VERIFICACION DE AUDITORIAS</t>
  </si>
  <si>
    <t>Versión:</t>
  </si>
  <si>
    <t>1.0-30-04-25</t>
  </si>
  <si>
    <t xml:space="preserve">Página: </t>
  </si>
  <si>
    <t xml:space="preserve">1 de 1 </t>
  </si>
  <si>
    <t xml:space="preserve"> Fecha Auditoría:</t>
  </si>
  <si>
    <t>9 Dic 2025</t>
  </si>
  <si>
    <t>Auditor :</t>
  </si>
  <si>
    <t>Mauricio Mantilla</t>
  </si>
  <si>
    <t>Proceso Auditado:</t>
  </si>
  <si>
    <t>Planificación del SGSI</t>
  </si>
  <si>
    <t>Auditado:</t>
  </si>
  <si>
    <t>Gerencia
Líder del SGSI</t>
  </si>
  <si>
    <t>#</t>
  </si>
  <si>
    <t>Etapa</t>
  </si>
  <si>
    <t>Descripción del elemento a revisar</t>
  </si>
  <si>
    <t xml:space="preserve">Requisito  ISO asociado </t>
  </si>
  <si>
    <r>
      <rPr>
        <b/>
        <sz val="12"/>
        <color theme="1"/>
        <rFont val="Arial"/>
        <charset val="134"/>
      </rPr>
      <t xml:space="preserve">Otros Requisito
</t>
    </r>
    <r>
      <rPr>
        <sz val="8"/>
        <color theme="1"/>
        <rFont val="Arial"/>
        <charset val="134"/>
      </rPr>
      <t>(Norma, ley, resolución, documentos organizacionales)</t>
    </r>
  </si>
  <si>
    <t>Tipo de hallazgo</t>
  </si>
  <si>
    <t>Descripcion del hallazgo</t>
  </si>
  <si>
    <t>Conformidad</t>
  </si>
  <si>
    <t>No 
Conformidad</t>
  </si>
  <si>
    <t>Oportunidades de Mejora</t>
  </si>
  <si>
    <t>Fortaleza</t>
  </si>
  <si>
    <t>Contexto</t>
  </si>
  <si>
    <t>4,5,6.2,6.3, 7.1, 7.4, 7.5, 8.1 A5.1 a 4, 31,34,37</t>
  </si>
  <si>
    <t>4</t>
  </si>
  <si>
    <t>x</t>
  </si>
  <si>
    <t>Pertinencia del análisis del contexto, específico de seguridad de la información</t>
  </si>
  <si>
    <t>Requisitos legales A.5.31</t>
  </si>
  <si>
    <t xml:space="preserve">No se ha identificado la regulación de historia clínica, no se cuenta con un enfoque documentado para el cumplimiento de los requisitos legales relevantes y cuales serán abordados del </t>
  </si>
  <si>
    <t>8.1 A5.1 a 4,34,37</t>
  </si>
  <si>
    <t>Liderazgo</t>
  </si>
  <si>
    <t>5.1</t>
  </si>
  <si>
    <t>5.2</t>
  </si>
  <si>
    <t>Enunciar los principales aspectos legales de cumplimiento en la política del SGSI</t>
  </si>
  <si>
    <t>Objetivos</t>
  </si>
  <si>
    <t>6.2</t>
  </si>
  <si>
    <t>No se han implementado los indicadores para medir los objetivos del sgsi</t>
  </si>
  <si>
    <t>Planificacion de cambios</t>
  </si>
  <si>
    <t>6.3</t>
  </si>
  <si>
    <t>Recursos</t>
  </si>
  <si>
    <t>7.1</t>
  </si>
  <si>
    <t>Identificados y controlados</t>
  </si>
  <si>
    <t>Comunicación</t>
  </si>
  <si>
    <t>7.4</t>
  </si>
  <si>
    <t>Complementar la matriz de comunicaciones con las comunicaciones entrantes y con otras áreas involucradas en el sgsi</t>
  </si>
  <si>
    <t>Documentación</t>
  </si>
  <si>
    <t>7.5</t>
  </si>
  <si>
    <t>Revisar la documentación del sgsi en el sentido de iniciar la implementación con las acciones fundamentales de cada proceso y progresivamente ir fortaleciendolas con mejores prácticas en la medida que las herramientas de seguimiento lo indiquen necesario</t>
  </si>
  <si>
    <t>Roles y responsabilidades</t>
  </si>
  <si>
    <t>A5.2</t>
  </si>
  <si>
    <t>Gestionar evidencia de la comunicación a los designados su el rol en el SGSI</t>
  </si>
  <si>
    <t>A5.3</t>
  </si>
  <si>
    <t>Especificar los procesos en donde se aplica la segregación de funciones</t>
  </si>
  <si>
    <t>TOTAL</t>
  </si>
  <si>
    <t>Firma del Auditor Titular</t>
  </si>
  <si>
    <t>Versión</t>
  </si>
  <si>
    <t>Fecha</t>
  </si>
  <si>
    <t>Descripción del Cambio</t>
  </si>
  <si>
    <t>Responsable del Cambio</t>
  </si>
  <si>
    <t>Elaboró:</t>
  </si>
  <si>
    <t>Revisó:</t>
  </si>
  <si>
    <t>Aprobó:</t>
  </si>
  <si>
    <t>Cargo:</t>
  </si>
  <si>
    <t>Fecha:</t>
  </si>
  <si>
    <t>P</t>
  </si>
  <si>
    <t>H</t>
  </si>
  <si>
    <t>V</t>
  </si>
  <si>
    <t>A</t>
  </si>
  <si>
    <t>Gestión de riesgos</t>
  </si>
  <si>
    <t>Responsable de riesgos</t>
  </si>
  <si>
    <t>Gestión de riesgos de seguridad de la información</t>
  </si>
  <si>
    <t>6.1, 8.2, 8,3, A5.7 a 9</t>
  </si>
  <si>
    <t>6.1</t>
  </si>
  <si>
    <t>No existe evidencia de la identificación de oportunidades del sgsi</t>
  </si>
  <si>
    <t>6.1.2, 8.2</t>
  </si>
  <si>
    <t>Considerar una modificación a la metodología de identificación de riesgos con el fin de reducir el detalle de cada riesgo asociado a cada causa</t>
  </si>
  <si>
    <t>6.1.3, 8.3</t>
  </si>
  <si>
    <t>el plan de tratamiento de riesgos no incluye los controles impleentados. SOA no tiene estado de impementación, la justificación no es)</t>
  </si>
  <si>
    <t>No se cuenta con evidencia de la aprobación del plan de tratamiento de riesgos (matriz de riesgos)</t>
  </si>
  <si>
    <t>A5.7</t>
  </si>
  <si>
    <t>Definido</t>
  </si>
  <si>
    <t>A5.8</t>
  </si>
  <si>
    <t>A5.9</t>
  </si>
  <si>
    <t>Ver en gestión de configuración</t>
  </si>
  <si>
    <t>Gestión Humana</t>
  </si>
  <si>
    <t>Jefe de Oficina de Gestión Humana, equipo de trabajo
Líder SGSI</t>
  </si>
  <si>
    <t>Seguridad en Gestión Humana</t>
  </si>
  <si>
    <t>5.3, 7.2, 7.3, A5.2 y 3, A6.1 a 6</t>
  </si>
  <si>
    <t>5.3</t>
  </si>
  <si>
    <t>7.2</t>
  </si>
  <si>
    <t>Implementar evidencia del control de verificación de requisitos de competencia e incluyendo los requisitos de los roles definidos en la matriz</t>
  </si>
  <si>
    <t>7.3</t>
  </si>
  <si>
    <t>Consolidar acciones</t>
  </si>
  <si>
    <t>A6.1</t>
  </si>
  <si>
    <t>Lista de verificación</t>
  </si>
  <si>
    <t>A6.2</t>
  </si>
  <si>
    <t>Otrosí y acuerdo de confidencialidad</t>
  </si>
  <si>
    <t>A6.3</t>
  </si>
  <si>
    <t>A6.4</t>
  </si>
  <si>
    <t>Reglamento de trabajo en curso de revisión por la reforma e iso 27001. El mal uso de la información es falta gravísima</t>
  </si>
  <si>
    <t>A6.5</t>
  </si>
  <si>
    <t>A6.6</t>
  </si>
  <si>
    <t>Gestión de terceros</t>
  </si>
  <si>
    <t>Director de Contratación y Planeación , equipo de trabajo
Líder SGSI</t>
  </si>
  <si>
    <t>Seguridad en procesos y servicios tercerizados</t>
  </si>
  <si>
    <t>8.1, A.5.19 a 23</t>
  </si>
  <si>
    <t>8.1. google, soporte y mantenimiento, asesorías, compra de dispositivos.
Servicios en salud</t>
  </si>
  <si>
    <t>Se evidencia cláusula de protección de datos y cláusula de confidencialidad. auditorías de calidad al prestador.Estandar de procesos prioritarios: Resolución 3100 de 2019: la hace dirección de auditoría.
SGSI proponer una lista de aspectos de seguridad</t>
  </si>
  <si>
    <t xml:space="preserve">A5.19 Seguridad de la información en las relaciones con el proveedor
</t>
  </si>
  <si>
    <t>A5.20 Abordar la seguridad de la información dentro de los acuerdos con proveedores</t>
  </si>
  <si>
    <t>no se evidencia análisis de riesgos y/o disposiciones para seguridad de la información en el servicio de workspace</t>
  </si>
  <si>
    <t xml:space="preserve">A5.21 Gestión de la seguridad de la información en la cadena de suministro de la tecnología de la información y la comunicación (TIC) </t>
  </si>
  <si>
    <t>Evaluar pertinencia</t>
  </si>
  <si>
    <t>A5.22 Seguimiento, revisión y gestión del cambio de los servicios de los proveedores</t>
  </si>
  <si>
    <t>A5.23 Seguridad de la información para el uso de
 servicios en la nube</t>
  </si>
  <si>
    <t>Desarrollar el modelo de responsabilidades compartidas</t>
  </si>
  <si>
    <t>Infraestructura TI</t>
  </si>
  <si>
    <t>Jefe de Tecnología y comunicaciones, equipo de trabajo</t>
  </si>
  <si>
    <t xml:space="preserve"> A6.7, A7.13, A8.2, 6, 8 a 10, 12, 13, 18 a 24</t>
  </si>
  <si>
    <t>a 6.7 trabajo remoto</t>
  </si>
  <si>
    <t>a7.13 mtto de equipos</t>
  </si>
  <si>
    <t>a8.2 acceso privilegiado</t>
  </si>
  <si>
    <t>Se identifica contraseñas débiles de administracion</t>
  </si>
  <si>
    <t>a8.6 capacidad</t>
  </si>
  <si>
    <t>a 8.8. vulnerabilidad tecnica</t>
  </si>
  <si>
    <t>No existe evidencia de implementación</t>
  </si>
  <si>
    <t>a8.9 gestion de cnfiguración</t>
  </si>
  <si>
    <t>a8,12 fuga</t>
  </si>
  <si>
    <t>No se cuenta con una solución que implemente la prevención de fuga de datos</t>
  </si>
  <si>
    <t>a8 13 copias</t>
  </si>
  <si>
    <t xml:space="preserve">a8.18 Uso de programas de utilidad privilegiados
</t>
  </si>
  <si>
    <t>Política</t>
  </si>
  <si>
    <t>a8.19 Instalación de software en sistemas operativos</t>
  </si>
  <si>
    <t>Personal IT</t>
  </si>
  <si>
    <t>a8.20 Seguridad de redes</t>
  </si>
  <si>
    <t>Firewall</t>
  </si>
  <si>
    <t>a8.21 Seguridad de los servicios de red</t>
  </si>
  <si>
    <t>a8.22 Segregación de redes</t>
  </si>
  <si>
    <t>Segmentación</t>
  </si>
  <si>
    <t>a8.23 Filtrado web</t>
  </si>
  <si>
    <t>Implementado</t>
  </si>
  <si>
    <t>a8.24 Uso de la criptografía</t>
  </si>
  <si>
    <t>Https</t>
  </si>
  <si>
    <t>10 Dic 2025</t>
  </si>
  <si>
    <t>Sedes (aplicación de controles pertinentes)</t>
  </si>
  <si>
    <t>Funcionarios del área</t>
  </si>
  <si>
    <t>Aplicación de controles en areas operativas</t>
  </si>
  <si>
    <t>5.2, 7.3, A6.2 y 3  A6.8, A7, A5.10, 12 a 15, 33</t>
  </si>
  <si>
    <t>5.2 Política</t>
  </si>
  <si>
    <t>Se observan políticas de sarlaft y de sistema dentifraude mas no de seguridad de la información</t>
  </si>
  <si>
    <t>7.3 Concienciación</t>
  </si>
  <si>
    <t>A5.10 uso aceptable</t>
  </si>
  <si>
    <t>A5.12 clasificación de información</t>
  </si>
  <si>
    <t>Usuario Manaure no conoce clasificación de información</t>
  </si>
  <si>
    <t>A5.13 Etiquetado</t>
  </si>
  <si>
    <t>A5.14 Transferencias</t>
  </si>
  <si>
    <t>A5.15 Control de acceso</t>
  </si>
  <si>
    <t>A5.33 Protección de registros</t>
  </si>
  <si>
    <t>documentos con información personal del año 2023 y 2024 en archivo sin gestión</t>
  </si>
  <si>
    <t>A6.2 Términos y condiciones de empleo</t>
  </si>
  <si>
    <t>A6.3 Conciencia</t>
  </si>
  <si>
    <t>A6.8 Informe de eventos</t>
  </si>
  <si>
    <t>Mesa de ayuda. Teléfono</t>
  </si>
  <si>
    <t>A.7.1 Perímetros de seguridad física</t>
  </si>
  <si>
    <t xml:space="preserve">Aislamiento de areas de permanencia del público en las sedes distracción, barrancas, albania.
</t>
  </si>
  <si>
    <t>A.7.2  Entrada física</t>
  </si>
  <si>
    <t>puerta con cerradura, marco sin reja (uribia)</t>
  </si>
  <si>
    <t>A.7.3 Asegurar oficinas, habitaciones e instalaciones</t>
  </si>
  <si>
    <t>Implementar sistema de alarma con monitoreo y reación con detección de movimiento, incendio. El perímetro de seguridad física de la sede uribia tiene ventanas con rejas y puerta de vidrio sin reja y ventana de aluminio (sin reja) en el baño con acceso a zona común</t>
  </si>
  <si>
    <t>A.7.4  Supervisión de la seguridad física</t>
  </si>
  <si>
    <t>Implementar monitoreo de cámara en la sede de nazareth. La pantalla de monitoreo de la sede no es visible a los funcionarios (manaure - Uribia)</t>
  </si>
  <si>
    <t>A.7.5 Protección contra amenazas físicas y ambientales</t>
  </si>
  <si>
    <t xml:space="preserve"> x</t>
  </si>
  <si>
    <t>Extintores al día. Uribia tiene CO2 y ABC Manaure solo CO2</t>
  </si>
  <si>
    <t>A.7.6 Trabajar en áreas seguras</t>
  </si>
  <si>
    <t>Puerta de acceso a los cubículos de atención abierta (uribia y manaure)</t>
  </si>
  <si>
    <t>a5.34 protección de datos</t>
  </si>
  <si>
    <t>aviso de videograbación en las sedes, titulo en wayuunaiki. Mayoría de usuarios solo hablan wayuunaiki</t>
  </si>
  <si>
    <t>antivirus manaure tiene alerta sin gestión</t>
  </si>
  <si>
    <t>equipo de lider uribia no tiene bloqueo a paginas de internet redes sociales</t>
  </si>
  <si>
    <t>puerta de acceso a cubiculos abierta</t>
  </si>
  <si>
    <t>cerraduras de los archivadores no sirven y tienen las llaves pegadas</t>
  </si>
  <si>
    <t>suministro electrico intermitente</t>
  </si>
  <si>
    <t>11 Dic 2025</t>
  </si>
  <si>
    <t>Desarrollo de software y sistemas</t>
  </si>
  <si>
    <t>Jefe de Programación, equipo de desarrollo</t>
  </si>
  <si>
    <t>Desarrollo de software</t>
  </si>
  <si>
    <t>A5.15, A8.3 a 5, A8.11, 26 a 32</t>
  </si>
  <si>
    <t>A5.15 control de acceso</t>
  </si>
  <si>
    <t>A8.3 A.8.3 Restricción de acceso a la información</t>
  </si>
  <si>
    <t>A8.4 Acceso al código fuente</t>
  </si>
  <si>
    <t>A8.5  Autenticación segura</t>
  </si>
  <si>
    <t>A8.11  Enmascaramiento de datos</t>
  </si>
  <si>
    <t>En contraseñas</t>
  </si>
  <si>
    <t>a8.25 Ciclo de vida de desarrollo seguro</t>
  </si>
  <si>
    <t>A8.26  Requisitos de seguridad de las aplicaciones</t>
  </si>
  <si>
    <t>No se evidencia documentación de requisitos</t>
  </si>
  <si>
    <t>A8.27 Arquitectura de sistemas seguros y principios de ingeniería</t>
  </si>
  <si>
    <t>Política de desarrollo seguro</t>
  </si>
  <si>
    <t>A8.28 Codificación segura</t>
  </si>
  <si>
    <t>A8.29  Pruebas de seguridad en desarrollo y aceptación</t>
  </si>
  <si>
    <t>no se hacen pruebas (el desarrollo)</t>
  </si>
  <si>
    <t>A8.30 Desarrollo externalizado</t>
  </si>
  <si>
    <t xml:space="preserve">Proyecto: gestion de indicadores y notas técnica. </t>
  </si>
  <si>
    <t>A8.31 Separación de entornos de desarrollo, prueba y producción</t>
  </si>
  <si>
    <t>se cuenta con bases de datos separadas pero no está separado</t>
  </si>
  <si>
    <t>A8.32 Gestión del cambio</t>
  </si>
  <si>
    <t>A.8.33 Información de la prueba</t>
  </si>
  <si>
    <t>contraseña github en texto claro equipo de desarrollo</t>
  </si>
  <si>
    <t>Seguridad física</t>
  </si>
  <si>
    <t>DAF</t>
  </si>
  <si>
    <t>A.7.1 a 6, A7.9</t>
  </si>
  <si>
    <t>A.7.1 perímetros</t>
  </si>
  <si>
    <t>A.7.2 acceso físico</t>
  </si>
  <si>
    <t>Maicao: externo y a zonas restringidas. Proyecto en curso cubre archivo</t>
  </si>
  <si>
    <t>A.7.3 asegurar recintos</t>
  </si>
  <si>
    <t>A.7.4 montoreo</t>
  </si>
  <si>
    <t>Externo, interno sin monitoreo constante. Falta sede nazareth</t>
  </si>
  <si>
    <t>A.7.5 protección contra amenazas físicas</t>
  </si>
  <si>
    <t>extintor de archivo no está en la ubicación, no hay sensores, alarmas en archivo</t>
  </si>
  <si>
    <t>A.7.6 Trabajo en áreas seguras</t>
  </si>
  <si>
    <t>No existen disposiciones diferenciadas para trabajo en zonas seguras</t>
  </si>
  <si>
    <t>A.7.8  Emplazamiento y protección de equipos</t>
  </si>
  <si>
    <t>DVR locales en sedes, equipos de red satelital y seguridad fuera de rack</t>
  </si>
  <si>
    <t>A5.33 protección de registros</t>
  </si>
  <si>
    <t>Archivo: Documentos en el piso, humedad, almacenamiento de materiales y partes que pueder afectar los registros.</t>
  </si>
  <si>
    <t>Gestión de incidentes</t>
  </si>
  <si>
    <t>Líder SGSI</t>
  </si>
  <si>
    <t xml:space="preserve">A.5.5, 6, A5 24 a.28,A8.7, 15 a 17, </t>
  </si>
  <si>
    <t>A5.5 contacto autoridades</t>
  </si>
  <si>
    <t>CSIRT, cai virtual</t>
  </si>
  <si>
    <t>A5.6 contacto grupos</t>
  </si>
  <si>
    <t>No existe una relación formal</t>
  </si>
  <si>
    <t>A5.24 planif incidentes</t>
  </si>
  <si>
    <t>Establecido en la Guia de gestión y clasificación de incidentes. Matriz de eventos e incidentes. vacía. NO IMPLEMENTADO</t>
  </si>
  <si>
    <t>A5.25 evauación y decisión</t>
  </si>
  <si>
    <t>Establecido en la guía</t>
  </si>
  <si>
    <t>A5.26 respuesta</t>
  </si>
  <si>
    <t>A5.27 aprendizaje incidentes</t>
  </si>
  <si>
    <t>A5.28 recopilación de pruebas</t>
  </si>
  <si>
    <t>A8.7 malware</t>
  </si>
  <si>
    <t>Sophos</t>
  </si>
  <si>
    <t>A8.15 logs</t>
  </si>
  <si>
    <t>Firewall sin logs habilitados. No existe disposición al respecto</t>
  </si>
  <si>
    <t>A8.16 monitoreo</t>
  </si>
  <si>
    <t>No se cuenta con un sistema de monitoreo que cubra todos los activos</t>
  </si>
  <si>
    <t>A8.17 relojes</t>
  </si>
  <si>
    <t>Reloj sincronizado en windows y telefonos fijos. No inalámbrico de desarrollo, no acceso a gerencia</t>
  </si>
  <si>
    <t>Continuidad</t>
  </si>
  <si>
    <t>Continuidad de la TI</t>
  </si>
  <si>
    <t>A5.29, 30,A8.13, 14</t>
  </si>
  <si>
    <t>A5.29 seguridad durante la interrupcion</t>
  </si>
  <si>
    <t>Política de Gestión de Continuidad de la Seguridad de la Información.</t>
  </si>
  <si>
    <t>A5.30 preparación de las tic para la continuidad</t>
  </si>
  <si>
    <t>Política de Gestión de Continuidad de la Seguridad de la Información. plantas, ups. No existe evidencia de la planificación y realizaciónde pruebas</t>
  </si>
  <si>
    <t>A8.13 backup</t>
  </si>
  <si>
    <t>replicas de la bd del sistema de información. copia del AD, firewall, routers, logs críticos. Se recomienda elaborar un plan de respaldos</t>
  </si>
  <si>
    <t>A8.14 redundancia</t>
  </si>
  <si>
    <t>Canales satelitales de respaldo, suplencia energía</t>
  </si>
  <si>
    <t>Líder SGSI / Aseguramiento</t>
  </si>
  <si>
    <t>Seguimiento</t>
  </si>
  <si>
    <t>9.1, 9.2, 10,2, A5.35, 36 A8.34</t>
  </si>
  <si>
    <t>9.1 seguimiento y medición</t>
  </si>
  <si>
    <t>Modelo de seguimiento y medición. Indicadores sin medición</t>
  </si>
  <si>
    <t>9.2 auditoría interna</t>
  </si>
  <si>
    <t>Programa de auditoría 2025</t>
  </si>
  <si>
    <t>10.2 No conformidad</t>
  </si>
  <si>
    <t>Procedimiento de mejora. En implementación</t>
  </si>
  <si>
    <t>A5.35 Revisión independiente de la seguridad de la información</t>
  </si>
  <si>
    <t>Hacking ético</t>
  </si>
  <si>
    <t>A5.36 Cumplimiento de políticas, reglas y estándares de seguridad de la información</t>
  </si>
  <si>
    <t>En implementación</t>
  </si>
  <si>
    <t>A8.34 Protección de los sistemas de información durante las pruebas de auditoría</t>
  </si>
  <si>
    <t>Revisión por la dirección y mejora</t>
  </si>
  <si>
    <t>Comité de Seguridad de la información</t>
  </si>
  <si>
    <t>9.3,10.1</t>
  </si>
  <si>
    <t>9.3 Rev x la dirección</t>
  </si>
  <si>
    <t>No se ha realizado</t>
  </si>
  <si>
    <t>10.1 Mejora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</si>
</sst>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Calibri"/>
      <charset val="134"/>
      <scheme val="minor"/>
    </font>
    <font>
      <sz val="10"/>
      <color rgb="FF6E6F71"/>
      <name val="Arial"/>
      <charset val="134"/>
    </font>
    <font>
      <sz val="11"/>
      <color rgb="FF6E6F71"/>
      <name val="Arial"/>
      <charset val="134"/>
    </font>
    <font>
      <sz val="9"/>
      <color theme="1"/>
      <name val="Arial"/>
      <charset val="134"/>
    </font>
    <font>
      <b/>
      <sz val="22"/>
      <color theme="1"/>
      <name val="Arial"/>
      <charset val="134"/>
    </font>
    <font>
      <b/>
      <sz val="16"/>
      <color rgb="FF6E6F7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1"/>
      <color rgb="FF6E6F71"/>
      <name val="Arial"/>
      <charset val="134"/>
    </font>
    <font>
      <b/>
      <sz val="10"/>
      <color rgb="FF6E6F71"/>
      <name val="Arial"/>
      <charset val="134"/>
    </font>
    <font>
      <sz val="12"/>
      <color rgb="FF6E6F71"/>
      <name val="Arial"/>
      <charset val="134"/>
    </font>
    <font>
      <b/>
      <sz val="16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2"/>
      <color rgb="FF6E6F71"/>
      <name val="Arial"/>
      <charset val="134"/>
    </font>
    <font>
      <sz val="8"/>
      <color theme="1"/>
      <name val="Arial"/>
      <charset val="134"/>
    </font>
    <font>
      <sz val="8"/>
      <color rgb="FF6E6F71"/>
      <name val="Arial"/>
      <charset val="134"/>
    </font>
    <font>
      <sz val="6"/>
      <color rgb="FF6E6F71"/>
      <name val="Arial"/>
      <charset val="134"/>
    </font>
    <font>
      <b/>
      <sz val="10"/>
      <color theme="0" tint="-0.49998474074526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1"/>
      <name val="Myriad Pro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hair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0" applyNumberFormat="0" applyAlignment="0" applyProtection="0">
      <alignment vertical="center"/>
    </xf>
    <xf numFmtId="0" fontId="28" fillId="7" borderId="21" applyNumberFormat="0" applyAlignment="0" applyProtection="0">
      <alignment vertical="center"/>
    </xf>
    <xf numFmtId="0" fontId="29" fillId="7" borderId="20" applyNumberFormat="0" applyAlignment="0" applyProtection="0">
      <alignment vertical="center"/>
    </xf>
    <xf numFmtId="0" fontId="30" fillId="8" borderId="22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0" borderId="0"/>
    <xf numFmtId="0" fontId="39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0" xfId="0" applyFont="1" applyFill="1"/>
    <xf numFmtId="0" fontId="5" fillId="2" borderId="0" xfId="49" applyFont="1" applyFill="1" applyAlignment="1">
      <alignment vertical="center" wrapText="1"/>
    </xf>
    <xf numFmtId="0" fontId="5" fillId="2" borderId="1" xfId="49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58" fontId="7" fillId="0" borderId="2" xfId="0" applyNumberFormat="1" applyFont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3" borderId="2" xfId="49" applyFont="1" applyFill="1" applyBorder="1" applyAlignment="1">
      <alignment horizontal="center" vertical="center" wrapText="1"/>
    </xf>
    <xf numFmtId="0" fontId="5" fillId="2" borderId="0" xfId="49" applyFont="1" applyFill="1" applyAlignment="1">
      <alignment horizontal="center" vertical="center" wrapText="1"/>
    </xf>
    <xf numFmtId="0" fontId="5" fillId="0" borderId="0" xfId="50" applyFont="1" applyAlignment="1">
      <alignment horizontal="center" vertical="top"/>
    </xf>
    <xf numFmtId="0" fontId="12" fillId="3" borderId="2" xfId="49" applyFont="1" applyFill="1" applyBorder="1" applyAlignment="1">
      <alignment horizontal="center" vertical="center" wrapText="1"/>
    </xf>
    <xf numFmtId="0" fontId="2" fillId="4" borderId="2" xfId="0" applyFont="1" applyFill="1" applyBorder="1" applyAlignment="1" applyProtection="1">
      <alignment horizontal="center"/>
      <protection locked="0"/>
    </xf>
    <xf numFmtId="0" fontId="2" fillId="4" borderId="0" xfId="0" applyFont="1" applyFill="1"/>
    <xf numFmtId="0" fontId="12" fillId="3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5" xfId="0" applyFont="1" applyFill="1" applyBorder="1" applyAlignment="1" applyProtection="1">
      <alignment horizontal="center" vertical="center" wrapText="1"/>
      <protection locked="0"/>
    </xf>
    <xf numFmtId="0" fontId="13" fillId="2" borderId="4" xfId="0" applyFont="1" applyFill="1" applyBorder="1" applyAlignment="1" applyProtection="1">
      <alignment horizontal="center" vertical="center" wrapText="1"/>
      <protection locked="0"/>
    </xf>
    <xf numFmtId="0" fontId="1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textRotation="90" wrapText="1"/>
    </xf>
    <xf numFmtId="0" fontId="10" fillId="0" borderId="2" xfId="0" applyFont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2" borderId="0" xfId="49" applyFont="1" applyFill="1" applyAlignment="1">
      <alignment horizontal="center" vertical="center" wrapText="1"/>
    </xf>
    <xf numFmtId="0" fontId="5" fillId="0" borderId="0" xfId="50" applyFont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Protection="1">
      <protection locked="0"/>
    </xf>
    <xf numFmtId="0" fontId="13" fillId="4" borderId="3" xfId="0" applyFont="1" applyFill="1" applyBorder="1" applyAlignment="1" applyProtection="1">
      <alignment horizontal="center"/>
      <protection locked="0"/>
    </xf>
    <xf numFmtId="0" fontId="13" fillId="4" borderId="5" xfId="0" applyFont="1" applyFill="1" applyBorder="1" applyAlignment="1" applyProtection="1">
      <alignment horizontal="center"/>
      <protection locked="0"/>
    </xf>
    <xf numFmtId="0" fontId="13" fillId="4" borderId="4" xfId="0" applyFont="1" applyFill="1" applyBorder="1" applyAlignment="1" applyProtection="1">
      <alignment horizontal="center"/>
      <protection locked="0"/>
    </xf>
    <xf numFmtId="0" fontId="12" fillId="3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 applyProtection="1">
      <alignment vertical="center" wrapText="1"/>
      <protection locked="0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58" fontId="12" fillId="3" borderId="2" xfId="0" applyNumberFormat="1" applyFont="1" applyFill="1" applyBorder="1" applyAlignment="1" applyProtection="1">
      <alignment vertical="center" wrapText="1"/>
      <protection locked="0"/>
    </xf>
    <xf numFmtId="0" fontId="16" fillId="0" borderId="0" xfId="0" applyFont="1" applyAlignment="1">
      <alignment textRotation="90"/>
    </xf>
    <xf numFmtId="0" fontId="1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textRotation="90"/>
    </xf>
    <xf numFmtId="0" fontId="9" fillId="2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0" fillId="0" borderId="2" xfId="49" applyFont="1" applyFill="1" applyBorder="1" applyAlignment="1" applyProtection="1">
      <alignment horizontal="center" vertical="center" wrapText="1"/>
      <protection locked="0"/>
    </xf>
    <xf numFmtId="0" fontId="5" fillId="0" borderId="6" xfId="50" applyFont="1" applyBorder="1" applyAlignment="1">
      <alignment horizontal="center" vertical="top"/>
    </xf>
    <xf numFmtId="0" fontId="11" fillId="0" borderId="0" xfId="50" applyFont="1" applyAlignment="1">
      <alignment horizontal="center" vertical="top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 quotePrefix="1">
      <alignment vertical="center" wrapText="1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37</xdr:row>
      <xdr:rowOff>206377</xdr:rowOff>
    </xdr:from>
    <xdr:to>
      <xdr:col>0</xdr:col>
      <xdr:colOff>438150</xdr:colOff>
      <xdr:row>41</xdr:row>
      <xdr:rowOff>361580</xdr:rowOff>
    </xdr:to>
    <xdr:pic>
      <xdr:nvPicPr>
        <xdr:cNvPr id="5" name="Imagen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14320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1666874</xdr:colOff>
      <xdr:row>3</xdr:row>
      <xdr:rowOff>404153</xdr:rowOff>
    </xdr:to>
    <xdr:pic>
      <xdr:nvPicPr>
        <xdr:cNvPr id="4" name="Imagen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44</xdr:row>
      <xdr:rowOff>206377</xdr:rowOff>
    </xdr:from>
    <xdr:to>
      <xdr:col>0</xdr:col>
      <xdr:colOff>438150</xdr:colOff>
      <xdr:row>48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968720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27320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936970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813020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457545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457545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81370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457545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933795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55970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206377</xdr:rowOff>
    </xdr:from>
    <xdr:to>
      <xdr:col>0</xdr:col>
      <xdr:colOff>438150</xdr:colOff>
      <xdr:row>47</xdr:row>
      <xdr:rowOff>361317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457545"/>
          <a:ext cx="438150" cy="1444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571323</xdr:colOff>
      <xdr:row>1</xdr:row>
      <xdr:rowOff>38099</xdr:rowOff>
    </xdr:from>
    <xdr:to>
      <xdr:col>16</xdr:col>
      <xdr:colOff>1666698</xdr:colOff>
      <xdr:row>3</xdr:row>
      <xdr:rowOff>404494</xdr:rowOff>
    </xdr:to>
    <xdr:pic>
      <xdr:nvPicPr>
        <xdr:cNvPr id="3" name="Imagen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900" y="125730"/>
          <a:ext cx="1095375" cy="1185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66"/>
  <sheetViews>
    <sheetView showGridLines="0" topLeftCell="D1" workbookViewId="0">
      <selection activeCell="O14" sqref="O14:Q14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8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17" t="s">
        <v>12</v>
      </c>
      <c r="F9" s="17"/>
      <c r="G9" s="17"/>
      <c r="H9" s="17"/>
      <c r="I9" s="17"/>
      <c r="J9" s="39" t="s">
        <v>13</v>
      </c>
      <c r="K9" s="40" t="s">
        <v>14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26</v>
      </c>
      <c r="E13" s="22"/>
      <c r="F13" s="22"/>
      <c r="G13" s="22"/>
      <c r="H13" s="22"/>
      <c r="I13" s="71" t="s">
        <v>27</v>
      </c>
      <c r="J13" s="86" t="s">
        <v>28</v>
      </c>
      <c r="K13" s="43"/>
      <c r="L13" s="43"/>
      <c r="M13" s="43"/>
      <c r="N13" s="43" t="s">
        <v>29</v>
      </c>
      <c r="O13" s="44" t="s">
        <v>30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55" customHeight="1" spans="2:30">
      <c r="B14" s="22"/>
      <c r="C14" s="22"/>
      <c r="D14" s="22"/>
      <c r="E14" s="22"/>
      <c r="F14" s="22"/>
      <c r="G14" s="22"/>
      <c r="H14" s="22"/>
      <c r="I14" s="75"/>
      <c r="J14" s="42" t="s">
        <v>31</v>
      </c>
      <c r="K14" s="43"/>
      <c r="L14" s="43" t="s">
        <v>29</v>
      </c>
      <c r="M14" s="43"/>
      <c r="N14" s="43"/>
      <c r="O14" s="44" t="s">
        <v>32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75"/>
      <c r="J15" s="42" t="s">
        <v>33</v>
      </c>
      <c r="K15" s="43" t="s">
        <v>29</v>
      </c>
      <c r="L15" s="43"/>
      <c r="M15" s="43"/>
      <c r="N15" s="43"/>
      <c r="O15" s="44"/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 t="s">
        <v>34</v>
      </c>
      <c r="E16" s="22"/>
      <c r="F16" s="22"/>
      <c r="G16" s="22"/>
      <c r="H16" s="22"/>
      <c r="I16" s="75"/>
      <c r="J16" s="42" t="s">
        <v>35</v>
      </c>
      <c r="K16" s="43" t="s">
        <v>29</v>
      </c>
      <c r="L16" s="43"/>
      <c r="M16" s="43"/>
      <c r="N16" s="43"/>
      <c r="O16" s="44"/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75"/>
      <c r="J17" s="42" t="s">
        <v>36</v>
      </c>
      <c r="K17" s="43"/>
      <c r="L17" s="43" t="s">
        <v>29</v>
      </c>
      <c r="M17" s="43"/>
      <c r="N17" s="43"/>
      <c r="O17" s="44" t="s">
        <v>37</v>
      </c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 t="s">
        <v>38</v>
      </c>
      <c r="E18" s="22"/>
      <c r="F18" s="22"/>
      <c r="G18" s="22"/>
      <c r="H18" s="22"/>
      <c r="I18" s="75"/>
      <c r="J18" s="42" t="s">
        <v>39</v>
      </c>
      <c r="K18" s="43"/>
      <c r="L18" s="43" t="s">
        <v>29</v>
      </c>
      <c r="M18" s="43"/>
      <c r="N18" s="43"/>
      <c r="O18" s="44" t="s">
        <v>40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 t="s">
        <v>41</v>
      </c>
      <c r="E19" s="22"/>
      <c r="F19" s="22"/>
      <c r="G19" s="22"/>
      <c r="H19" s="22"/>
      <c r="I19" s="75"/>
      <c r="J19" s="42" t="s">
        <v>42</v>
      </c>
      <c r="K19" s="43" t="s">
        <v>29</v>
      </c>
      <c r="L19" s="43"/>
      <c r="M19" s="43"/>
      <c r="N19" s="43"/>
      <c r="O19" s="44"/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20">
      <c r="B20" s="22"/>
      <c r="C20" s="22"/>
      <c r="D20" s="22" t="s">
        <v>43</v>
      </c>
      <c r="E20" s="22"/>
      <c r="F20" s="22"/>
      <c r="G20" s="22"/>
      <c r="H20" s="22"/>
      <c r="I20" s="75"/>
      <c r="J20" s="42" t="s">
        <v>44</v>
      </c>
      <c r="K20" s="43" t="s">
        <v>29</v>
      </c>
      <c r="L20" s="43"/>
      <c r="M20" s="43"/>
      <c r="N20" s="43"/>
      <c r="O20" s="44" t="s">
        <v>45</v>
      </c>
      <c r="P20" s="45"/>
      <c r="Q20" s="65"/>
      <c r="R20" s="24"/>
      <c r="S20" s="14"/>
      <c r="T20" s="62"/>
    </row>
    <row r="21" ht="44" customHeight="1" spans="2:20">
      <c r="B21" s="22"/>
      <c r="C21" s="22"/>
      <c r="D21" s="83" t="s">
        <v>46</v>
      </c>
      <c r="E21" s="84"/>
      <c r="F21" s="84"/>
      <c r="G21" s="84"/>
      <c r="H21" s="85"/>
      <c r="I21" s="75"/>
      <c r="J21" s="42" t="s">
        <v>47</v>
      </c>
      <c r="K21" s="43"/>
      <c r="L21" s="43"/>
      <c r="M21" s="43" t="s">
        <v>29</v>
      </c>
      <c r="N21" s="43"/>
      <c r="O21" s="44" t="s">
        <v>48</v>
      </c>
      <c r="P21" s="45"/>
      <c r="Q21" s="65"/>
      <c r="R21" s="24"/>
      <c r="S21" s="14"/>
      <c r="T21" s="62"/>
    </row>
    <row r="22" ht="95" customHeight="1" spans="2:20">
      <c r="B22" s="22"/>
      <c r="C22" s="22"/>
      <c r="D22" s="83" t="s">
        <v>49</v>
      </c>
      <c r="E22" s="84"/>
      <c r="F22" s="84"/>
      <c r="G22" s="84"/>
      <c r="H22" s="85"/>
      <c r="I22" s="79"/>
      <c r="J22" s="42" t="s">
        <v>50</v>
      </c>
      <c r="K22" s="43"/>
      <c r="L22" s="43"/>
      <c r="M22" s="43" t="s">
        <v>29</v>
      </c>
      <c r="N22" s="43"/>
      <c r="O22" s="44" t="s">
        <v>51</v>
      </c>
      <c r="P22" s="45"/>
      <c r="Q22" s="65"/>
      <c r="R22" s="24"/>
      <c r="S22" s="14"/>
      <c r="T22" s="62"/>
    </row>
    <row r="23" ht="41.25" customHeight="1" spans="2:20">
      <c r="B23" s="22"/>
      <c r="C23" s="22"/>
      <c r="D23" s="22" t="s">
        <v>52</v>
      </c>
      <c r="E23" s="22"/>
      <c r="F23" s="22"/>
      <c r="G23" s="22"/>
      <c r="H23" s="22"/>
      <c r="I23" s="22"/>
      <c r="J23" s="42" t="s">
        <v>53</v>
      </c>
      <c r="K23" s="43"/>
      <c r="L23" s="43"/>
      <c r="M23" s="43" t="s">
        <v>29</v>
      </c>
      <c r="N23" s="43"/>
      <c r="O23" s="44" t="s">
        <v>54</v>
      </c>
      <c r="P23" s="45"/>
      <c r="Q23" s="65"/>
      <c r="R23" s="24"/>
      <c r="S23" s="14"/>
      <c r="T23" s="62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 t="s">
        <v>55</v>
      </c>
      <c r="K24" s="43"/>
      <c r="L24" s="43"/>
      <c r="M24" s="43" t="s">
        <v>29</v>
      </c>
      <c r="N24" s="43"/>
      <c r="O24" s="44" t="s">
        <v>56</v>
      </c>
      <c r="P24" s="45"/>
      <c r="Q24" s="65"/>
      <c r="R24" s="24"/>
      <c r="S24" s="14"/>
      <c r="T24" s="62"/>
    </row>
    <row r="25" ht="29.25" customHeight="1" spans="2:19">
      <c r="B25" s="23" t="s">
        <v>57</v>
      </c>
      <c r="C25" s="23"/>
      <c r="D25" s="23"/>
      <c r="E25" s="23"/>
      <c r="F25" s="23"/>
      <c r="G25" s="23"/>
      <c r="H25" s="23"/>
      <c r="I25" s="23"/>
      <c r="J25" s="23"/>
      <c r="K25" s="23">
        <f t="shared" ref="K25:N25" si="0">+COUNTA(K13:K24)</f>
        <v>4</v>
      </c>
      <c r="L25" s="23">
        <f t="shared" si="0"/>
        <v>3</v>
      </c>
      <c r="M25" s="23">
        <f t="shared" si="0"/>
        <v>4</v>
      </c>
      <c r="N25" s="23">
        <f t="shared" si="0"/>
        <v>1</v>
      </c>
      <c r="O25" s="23"/>
      <c r="P25" s="23"/>
      <c r="Q25" s="23"/>
      <c r="R25" s="24"/>
      <c r="S25" s="14"/>
    </row>
    <row r="26" ht="16.5" customHeight="1" spans="2:19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14"/>
    </row>
    <row r="27" ht="51.75" customHeight="1" spans="2:19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14"/>
    </row>
    <row r="28" ht="25.5" customHeight="1" spans="3:19">
      <c r="C28" s="2"/>
      <c r="J28" s="24"/>
      <c r="K28" s="24"/>
      <c r="L28" s="24"/>
      <c r="M28" s="24"/>
      <c r="N28" s="47"/>
      <c r="O28" s="25"/>
      <c r="P28" s="25"/>
      <c r="Q28" s="25"/>
      <c r="R28" s="24"/>
      <c r="S28" s="14"/>
    </row>
    <row r="29" ht="28.5" customHeight="1" spans="2:19">
      <c r="B29" s="25"/>
      <c r="C29" s="25"/>
      <c r="D29" s="25"/>
      <c r="E29" s="25"/>
      <c r="F29" s="25"/>
      <c r="G29" s="25"/>
      <c r="J29" s="24"/>
      <c r="K29" s="24"/>
      <c r="L29" s="24"/>
      <c r="M29" s="24"/>
      <c r="N29" s="47"/>
      <c r="O29" s="69"/>
      <c r="P29" s="69"/>
      <c r="Q29" s="69"/>
      <c r="R29" s="24"/>
      <c r="S29" s="14"/>
    </row>
    <row r="30" ht="42" customHeight="1" spans="2:19">
      <c r="B30" s="25"/>
      <c r="C30" s="25"/>
      <c r="D30" s="25"/>
      <c r="E30" s="25"/>
      <c r="F30" s="25"/>
      <c r="G30" s="25"/>
      <c r="J30" s="24"/>
      <c r="K30" s="24"/>
      <c r="L30" s="24"/>
      <c r="M30" s="24"/>
      <c r="N30" s="47"/>
      <c r="O30" s="70" t="s">
        <v>58</v>
      </c>
      <c r="P30" s="70"/>
      <c r="Q30" s="70"/>
      <c r="R30" s="24"/>
      <c r="S30" s="14"/>
    </row>
    <row r="31" ht="25.5" customHeight="1" spans="2:18">
      <c r="B31" s="24"/>
      <c r="C31" s="24"/>
      <c r="D31" s="24"/>
      <c r="E31" s="24"/>
      <c r="F31" s="12"/>
      <c r="G31" s="12"/>
      <c r="H31" s="12"/>
      <c r="I31" s="12"/>
      <c r="J31" s="24"/>
      <c r="K31" s="24"/>
      <c r="L31" s="24"/>
      <c r="M31" s="24"/>
      <c r="N31" s="24"/>
      <c r="O31" s="12"/>
      <c r="P31" s="24"/>
      <c r="Q31" s="24"/>
      <c r="R31" s="24"/>
    </row>
    <row r="35" ht="27" customHeight="1" spans="2:17">
      <c r="B35" s="26" t="s">
        <v>59</v>
      </c>
      <c r="C35" s="26"/>
      <c r="D35" s="26" t="s">
        <v>60</v>
      </c>
      <c r="E35" s="26"/>
      <c r="F35" s="26" t="s">
        <v>61</v>
      </c>
      <c r="G35" s="26"/>
      <c r="H35" s="26"/>
      <c r="I35" s="26"/>
      <c r="J35" s="26"/>
      <c r="K35" s="26"/>
      <c r="L35" s="26"/>
      <c r="M35" s="26"/>
      <c r="N35" s="26" t="s">
        <v>62</v>
      </c>
      <c r="O35" s="26"/>
      <c r="P35" s="26"/>
      <c r="Q35" s="26"/>
    </row>
    <row r="36" ht="23.25" customHeight="1" spans="2:17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ht="23.25" customHeight="1" spans="2:1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48"/>
      <c r="O37" s="48"/>
      <c r="P37" s="48"/>
      <c r="Q37" s="48"/>
    </row>
    <row r="38" ht="23.25" customHeight="1" spans="2:17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48"/>
      <c r="O38" s="48"/>
      <c r="P38" s="48"/>
      <c r="Q38" s="48"/>
    </row>
    <row r="39" spans="2:13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ht="32.25" customHeight="1" spans="2:17">
      <c r="B40" s="29" t="s">
        <v>63</v>
      </c>
      <c r="C40" s="29"/>
      <c r="D40" s="30"/>
      <c r="E40" s="31"/>
      <c r="F40" s="31"/>
      <c r="G40" s="31"/>
      <c r="H40" s="32"/>
      <c r="I40" s="49" t="s">
        <v>64</v>
      </c>
      <c r="J40" s="50"/>
      <c r="K40" s="51"/>
      <c r="L40" s="51"/>
      <c r="M40" s="52"/>
      <c r="N40" s="53" t="s">
        <v>65</v>
      </c>
      <c r="O40" s="53"/>
      <c r="P40" s="54"/>
      <c r="Q40" s="66"/>
    </row>
    <row r="41" ht="32.25" customHeight="1" spans="2:17">
      <c r="B41" s="33" t="s">
        <v>66</v>
      </c>
      <c r="C41" s="33"/>
      <c r="D41" s="30"/>
      <c r="E41" s="31"/>
      <c r="F41" s="31"/>
      <c r="G41" s="31"/>
      <c r="H41" s="32"/>
      <c r="I41" s="55" t="s">
        <v>66</v>
      </c>
      <c r="J41" s="50"/>
      <c r="K41" s="51"/>
      <c r="L41" s="51"/>
      <c r="M41" s="52"/>
      <c r="N41" s="56" t="s">
        <v>66</v>
      </c>
      <c r="O41" s="57"/>
      <c r="P41" s="54"/>
      <c r="Q41" s="66"/>
    </row>
    <row r="42" ht="32.25" customHeight="1" spans="2:17">
      <c r="B42" s="29" t="s">
        <v>67</v>
      </c>
      <c r="C42" s="29"/>
      <c r="D42" s="30"/>
      <c r="E42" s="31"/>
      <c r="F42" s="31"/>
      <c r="G42" s="31"/>
      <c r="H42" s="32"/>
      <c r="I42" s="58" t="s">
        <v>67</v>
      </c>
      <c r="J42" s="50"/>
      <c r="K42" s="51"/>
      <c r="L42" s="51"/>
      <c r="M42" s="52"/>
      <c r="N42" s="56" t="s">
        <v>67</v>
      </c>
      <c r="O42" s="57"/>
      <c r="P42" s="54"/>
      <c r="Q42" s="66"/>
    </row>
    <row r="43" ht="24.75" customHeight="1" spans="17:17">
      <c r="Q43" s="67" t="s">
        <v>1</v>
      </c>
    </row>
    <row r="48" spans="15:15">
      <c r="O48" s="14"/>
    </row>
    <row r="63" hidden="1" spans="2:2">
      <c r="B63" s="2" t="s">
        <v>68</v>
      </c>
    </row>
    <row r="64" hidden="1" spans="2:2">
      <c r="B64" s="2" t="s">
        <v>69</v>
      </c>
    </row>
    <row r="65" hidden="1" spans="2:2">
      <c r="B65" s="2" t="s">
        <v>70</v>
      </c>
    </row>
    <row r="66" hidden="1" spans="2:2">
      <c r="B66" s="2" t="s">
        <v>71</v>
      </c>
    </row>
  </sheetData>
  <mergeCells count="87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D18:H18"/>
    <mergeCell ref="O18:Q18"/>
    <mergeCell ref="D19:H19"/>
    <mergeCell ref="O19:Q19"/>
    <mergeCell ref="D20:H20"/>
    <mergeCell ref="O20:Q20"/>
    <mergeCell ref="D21:H21"/>
    <mergeCell ref="O21:Q21"/>
    <mergeCell ref="D22:H22"/>
    <mergeCell ref="O22:Q22"/>
    <mergeCell ref="O23:Q23"/>
    <mergeCell ref="O24:Q24"/>
    <mergeCell ref="B25:J25"/>
    <mergeCell ref="O25:Q25"/>
    <mergeCell ref="O28:Q28"/>
    <mergeCell ref="O29:Q29"/>
    <mergeCell ref="B30:G30"/>
    <mergeCell ref="O30:Q30"/>
    <mergeCell ref="J31:N31"/>
    <mergeCell ref="B35:C35"/>
    <mergeCell ref="D35:E35"/>
    <mergeCell ref="F35:M35"/>
    <mergeCell ref="N35:Q35"/>
    <mergeCell ref="B36:C36"/>
    <mergeCell ref="D36:E36"/>
    <mergeCell ref="F36:M36"/>
    <mergeCell ref="N36:Q36"/>
    <mergeCell ref="B37:C37"/>
    <mergeCell ref="D37:E37"/>
    <mergeCell ref="F37:M37"/>
    <mergeCell ref="N37:Q37"/>
    <mergeCell ref="B38:C38"/>
    <mergeCell ref="D38:E38"/>
    <mergeCell ref="F38:M38"/>
    <mergeCell ref="N38:Q38"/>
    <mergeCell ref="B40:C40"/>
    <mergeCell ref="D40:H40"/>
    <mergeCell ref="J40:M40"/>
    <mergeCell ref="N40:O40"/>
    <mergeCell ref="P40:Q40"/>
    <mergeCell ref="B41:C41"/>
    <mergeCell ref="D41:H41"/>
    <mergeCell ref="J41:M41"/>
    <mergeCell ref="N41:O41"/>
    <mergeCell ref="P41:Q41"/>
    <mergeCell ref="B42:C42"/>
    <mergeCell ref="D42:H42"/>
    <mergeCell ref="J42:M42"/>
    <mergeCell ref="N42:O42"/>
    <mergeCell ref="P42:Q42"/>
    <mergeCell ref="B11:B12"/>
    <mergeCell ref="B13:B15"/>
    <mergeCell ref="B16:B17"/>
    <mergeCell ref="B23:B24"/>
    <mergeCell ref="C11:C12"/>
    <mergeCell ref="C13:C15"/>
    <mergeCell ref="C16:C17"/>
    <mergeCell ref="C23:C24"/>
    <mergeCell ref="I11:I12"/>
    <mergeCell ref="I13:I22"/>
    <mergeCell ref="I23:I24"/>
    <mergeCell ref="J11:J12"/>
    <mergeCell ref="Q2:Q4"/>
    <mergeCell ref="O11:Q12"/>
    <mergeCell ref="D13:H15"/>
    <mergeCell ref="D11:H12"/>
    <mergeCell ref="F2:P4"/>
    <mergeCell ref="D16:H17"/>
    <mergeCell ref="D23:H24"/>
  </mergeCells>
  <dataValidations count="14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8 C19 C20 C23">
      <formula1>$B$63:$B$66</formula1>
    </dataValidation>
    <dataValidation type="list" allowBlank="1" showInputMessage="1" showErrorMessage="1" sqref="K13:N13 K23:N23">
      <formula1>#REF!</formula1>
    </dataValidation>
    <dataValidation allowBlank="1" showInputMessage="1" showErrorMessage="1" promptTitle="Total" prompt="Total de hallazgos" sqref="B25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3"/>
  <sheetViews>
    <sheetView showGridLines="0" topLeftCell="B5" workbookViewId="0">
      <selection activeCell="K9" sqref="K9:Q9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8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17" t="s">
        <v>72</v>
      </c>
      <c r="F9" s="17"/>
      <c r="G9" s="17"/>
      <c r="H9" s="17"/>
      <c r="I9" s="17"/>
      <c r="J9" s="39" t="s">
        <v>13</v>
      </c>
      <c r="K9" s="40" t="s">
        <v>73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71"/>
      <c r="C13" s="71"/>
      <c r="D13" s="72" t="s">
        <v>74</v>
      </c>
      <c r="E13" s="73"/>
      <c r="F13" s="73"/>
      <c r="G13" s="73"/>
      <c r="H13" s="74"/>
      <c r="I13" s="71" t="s">
        <v>75</v>
      </c>
      <c r="J13" s="42" t="s">
        <v>76</v>
      </c>
      <c r="K13" s="43"/>
      <c r="L13" s="43" t="s">
        <v>29</v>
      </c>
      <c r="M13" s="43"/>
      <c r="N13" s="43"/>
      <c r="O13" s="44" t="s">
        <v>77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52" customHeight="1" spans="2:30">
      <c r="B14" s="75"/>
      <c r="C14" s="75"/>
      <c r="D14" s="76"/>
      <c r="E14" s="77"/>
      <c r="F14" s="77"/>
      <c r="G14" s="77"/>
      <c r="H14" s="78"/>
      <c r="I14" s="75"/>
      <c r="J14" s="42" t="s">
        <v>78</v>
      </c>
      <c r="K14" s="43"/>
      <c r="L14" s="43"/>
      <c r="M14" s="43" t="s">
        <v>29</v>
      </c>
      <c r="N14" s="43"/>
      <c r="O14" s="44" t="s">
        <v>79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84" customHeight="1" spans="2:30">
      <c r="B15" s="75"/>
      <c r="C15" s="75"/>
      <c r="D15" s="76"/>
      <c r="E15" s="77"/>
      <c r="F15" s="77"/>
      <c r="G15" s="77"/>
      <c r="H15" s="78"/>
      <c r="I15" s="75"/>
      <c r="J15" s="42" t="s">
        <v>80</v>
      </c>
      <c r="K15" s="43"/>
      <c r="L15" s="43" t="s">
        <v>29</v>
      </c>
      <c r="M15" s="43"/>
      <c r="N15" s="43"/>
      <c r="O15" s="44" t="s">
        <v>81</v>
      </c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75"/>
      <c r="C16" s="75"/>
      <c r="D16" s="76"/>
      <c r="E16" s="77"/>
      <c r="F16" s="77"/>
      <c r="G16" s="77"/>
      <c r="H16" s="78"/>
      <c r="I16" s="75"/>
      <c r="J16" s="42" t="s">
        <v>80</v>
      </c>
      <c r="K16" s="43"/>
      <c r="L16" s="43" t="s">
        <v>29</v>
      </c>
      <c r="M16" s="43"/>
      <c r="N16" s="43"/>
      <c r="O16" s="44" t="s">
        <v>82</v>
      </c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75"/>
      <c r="C17" s="75"/>
      <c r="D17" s="76"/>
      <c r="E17" s="77"/>
      <c r="F17" s="77"/>
      <c r="G17" s="77"/>
      <c r="H17" s="78"/>
      <c r="I17" s="75"/>
      <c r="J17" s="42" t="s">
        <v>83</v>
      </c>
      <c r="K17" s="43" t="s">
        <v>29</v>
      </c>
      <c r="L17" s="43"/>
      <c r="M17" s="43"/>
      <c r="N17" s="43"/>
      <c r="O17" s="44" t="s">
        <v>84</v>
      </c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75"/>
      <c r="C18" s="75"/>
      <c r="D18" s="76"/>
      <c r="E18" s="77"/>
      <c r="F18" s="77"/>
      <c r="G18" s="77"/>
      <c r="H18" s="78"/>
      <c r="I18" s="75"/>
      <c r="J18" s="42" t="s">
        <v>85</v>
      </c>
      <c r="K18" s="43" t="s">
        <v>29</v>
      </c>
      <c r="L18" s="43"/>
      <c r="M18" s="43"/>
      <c r="N18" s="43"/>
      <c r="O18" s="44" t="s">
        <v>84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79"/>
      <c r="C19" s="79"/>
      <c r="D19" s="80"/>
      <c r="E19" s="81"/>
      <c r="F19" s="81"/>
      <c r="G19" s="81"/>
      <c r="H19" s="82"/>
      <c r="I19" s="79"/>
      <c r="J19" s="42" t="s">
        <v>86</v>
      </c>
      <c r="K19" s="43"/>
      <c r="L19" s="43"/>
      <c r="M19" s="43" t="s">
        <v>29</v>
      </c>
      <c r="N19" s="43"/>
      <c r="O19" s="44" t="s">
        <v>87</v>
      </c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42"/>
      <c r="C20" s="42"/>
      <c r="D20" s="72"/>
      <c r="E20" s="73"/>
      <c r="F20" s="73"/>
      <c r="G20" s="73"/>
      <c r="H20" s="74"/>
      <c r="I20" s="71"/>
      <c r="J20" s="42"/>
      <c r="K20" s="43"/>
      <c r="L20" s="43"/>
      <c r="M20" s="43"/>
      <c r="N20" s="43"/>
      <c r="O20" s="44"/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42"/>
      <c r="C21" s="42"/>
      <c r="D21" s="76"/>
      <c r="E21" s="77"/>
      <c r="F21" s="77"/>
      <c r="G21" s="77"/>
      <c r="H21" s="78"/>
      <c r="I21" s="75"/>
      <c r="J21" s="42"/>
      <c r="K21" s="43"/>
      <c r="L21" s="43"/>
      <c r="M21" s="43"/>
      <c r="N21" s="43"/>
      <c r="O21" s="44"/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42"/>
      <c r="C22" s="42"/>
      <c r="D22" s="80"/>
      <c r="E22" s="81"/>
      <c r="F22" s="81"/>
      <c r="G22" s="81"/>
      <c r="H22" s="82"/>
      <c r="I22" s="79"/>
      <c r="J22" s="42"/>
      <c r="K22" s="43"/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/>
      <c r="K23" s="43"/>
      <c r="L23" s="43"/>
      <c r="M23" s="43"/>
      <c r="N23" s="43"/>
      <c r="O23" s="44"/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3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/>
      <c r="S24" s="63"/>
      <c r="T24" s="62"/>
      <c r="U24" s="64"/>
      <c r="V24" s="64"/>
      <c r="W24" s="64"/>
      <c r="X24" s="64"/>
      <c r="Y24" s="64"/>
      <c r="Z24" s="64"/>
      <c r="AA24" s="64"/>
      <c r="AB24" s="64"/>
      <c r="AC24" s="64"/>
      <c r="AD24" s="64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 t="s">
        <v>29</v>
      </c>
      <c r="S25" s="14"/>
      <c r="T25" s="62"/>
    </row>
    <row r="26" ht="41.2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41.25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41.25" customHeight="1" spans="2:20">
      <c r="B31" s="22"/>
      <c r="C31" s="22"/>
      <c r="D31" s="22"/>
      <c r="E31" s="22"/>
      <c r="F31" s="22"/>
      <c r="G31" s="22"/>
      <c r="H31" s="22"/>
      <c r="I31" s="22"/>
      <c r="J31" s="42"/>
      <c r="K31" s="43"/>
      <c r="L31" s="43"/>
      <c r="M31" s="43"/>
      <c r="N31" s="43"/>
      <c r="O31" s="44"/>
      <c r="P31" s="45"/>
      <c r="Q31" s="65"/>
      <c r="R31" s="24"/>
      <c r="S31" s="14"/>
      <c r="T31" s="62"/>
    </row>
    <row r="32" ht="29.25" customHeight="1" spans="2:19">
      <c r="B32" s="23" t="s">
        <v>57</v>
      </c>
      <c r="C32" s="23"/>
      <c r="D32" s="23"/>
      <c r="E32" s="23"/>
      <c r="F32" s="23"/>
      <c r="G32" s="23"/>
      <c r="H32" s="23"/>
      <c r="I32" s="23"/>
      <c r="J32" s="23"/>
      <c r="K32" s="23">
        <f>COUNTIF(K13:K31,$R$25)</f>
        <v>2</v>
      </c>
      <c r="L32" s="23">
        <f>COUNTIF(L13:L31,$R$25)</f>
        <v>3</v>
      </c>
      <c r="M32" s="23">
        <f>COUNTIF(M13:M31,$R$25)</f>
        <v>2</v>
      </c>
      <c r="N32" s="23">
        <f>COUNTIF(N13:N31,$R$25)</f>
        <v>0</v>
      </c>
      <c r="O32" s="23"/>
      <c r="P32" s="23"/>
      <c r="Q32" s="23"/>
      <c r="R32" s="24"/>
      <c r="S32" s="14"/>
    </row>
    <row r="33" ht="16.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14"/>
    </row>
    <row r="34" ht="51.75" customHeight="1" spans="2:19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14"/>
    </row>
    <row r="35" ht="25.5" customHeight="1" spans="3:19">
      <c r="C35" s="2"/>
      <c r="J35" s="24"/>
      <c r="K35" s="24"/>
      <c r="L35" s="24"/>
      <c r="M35" s="24"/>
      <c r="N35" s="47"/>
      <c r="O35" s="25"/>
      <c r="P35" s="25"/>
      <c r="Q35" s="25"/>
      <c r="R35" s="24"/>
      <c r="S35" s="14"/>
    </row>
    <row r="36" ht="28.5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69"/>
      <c r="P36" s="69"/>
      <c r="Q36" s="69"/>
      <c r="R36" s="24"/>
      <c r="S36" s="14"/>
    </row>
    <row r="37" ht="42" customHeight="1" spans="2:19">
      <c r="B37" s="25"/>
      <c r="C37" s="25"/>
      <c r="D37" s="25"/>
      <c r="E37" s="25"/>
      <c r="F37" s="25"/>
      <c r="G37" s="25"/>
      <c r="J37" s="24"/>
      <c r="K37" s="24"/>
      <c r="L37" s="24"/>
      <c r="M37" s="24"/>
      <c r="N37" s="47"/>
      <c r="O37" s="70" t="s">
        <v>58</v>
      </c>
      <c r="P37" s="70"/>
      <c r="Q37" s="70"/>
      <c r="R37" s="24"/>
      <c r="S37" s="14"/>
    </row>
    <row r="38" ht="25.5" customHeight="1" spans="2:18">
      <c r="B38" s="24"/>
      <c r="C38" s="24"/>
      <c r="D38" s="24"/>
      <c r="E38" s="24"/>
      <c r="F38" s="12"/>
      <c r="G38" s="12"/>
      <c r="H38" s="12"/>
      <c r="I38" s="12"/>
      <c r="J38" s="24"/>
      <c r="K38" s="24"/>
      <c r="L38" s="24"/>
      <c r="M38" s="24"/>
      <c r="N38" s="24"/>
      <c r="O38" s="12"/>
      <c r="P38" s="24"/>
      <c r="Q38" s="24"/>
      <c r="R38" s="24"/>
    </row>
    <row r="42" ht="27" customHeight="1" spans="2:17">
      <c r="B42" s="26" t="s">
        <v>59</v>
      </c>
      <c r="C42" s="26"/>
      <c r="D42" s="26" t="s">
        <v>60</v>
      </c>
      <c r="E42" s="26"/>
      <c r="F42" s="26" t="s">
        <v>61</v>
      </c>
      <c r="G42" s="26"/>
      <c r="H42" s="26"/>
      <c r="I42" s="26"/>
      <c r="J42" s="26"/>
      <c r="K42" s="26"/>
      <c r="L42" s="26"/>
      <c r="M42" s="26"/>
      <c r="N42" s="26" t="s">
        <v>62</v>
      </c>
      <c r="O42" s="26"/>
      <c r="P42" s="26"/>
      <c r="Q42" s="26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ht="23.25" customHeight="1" spans="2:17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48"/>
      <c r="O45" s="48"/>
      <c r="P45" s="48"/>
      <c r="Q45" s="48"/>
    </row>
    <row r="46" spans="2:13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32.25" customHeight="1" spans="2:17">
      <c r="B47" s="29" t="s">
        <v>63</v>
      </c>
      <c r="C47" s="29"/>
      <c r="D47" s="30"/>
      <c r="E47" s="31"/>
      <c r="F47" s="31"/>
      <c r="G47" s="31"/>
      <c r="H47" s="32"/>
      <c r="I47" s="49" t="s">
        <v>64</v>
      </c>
      <c r="J47" s="50"/>
      <c r="K47" s="51"/>
      <c r="L47" s="51"/>
      <c r="M47" s="52"/>
      <c r="N47" s="53" t="s">
        <v>65</v>
      </c>
      <c r="O47" s="53"/>
      <c r="P47" s="54"/>
      <c r="Q47" s="66"/>
    </row>
    <row r="48" ht="32.25" customHeight="1" spans="2:17">
      <c r="B48" s="33" t="s">
        <v>66</v>
      </c>
      <c r="C48" s="33"/>
      <c r="D48" s="30"/>
      <c r="E48" s="31"/>
      <c r="F48" s="31"/>
      <c r="G48" s="31"/>
      <c r="H48" s="32"/>
      <c r="I48" s="55" t="s">
        <v>66</v>
      </c>
      <c r="J48" s="50"/>
      <c r="K48" s="51"/>
      <c r="L48" s="51"/>
      <c r="M48" s="52"/>
      <c r="N48" s="56" t="s">
        <v>66</v>
      </c>
      <c r="O48" s="57"/>
      <c r="P48" s="54"/>
      <c r="Q48" s="66"/>
    </row>
    <row r="49" ht="32.25" customHeight="1" spans="2:17">
      <c r="B49" s="29" t="s">
        <v>67</v>
      </c>
      <c r="C49" s="29"/>
      <c r="D49" s="30"/>
      <c r="E49" s="31"/>
      <c r="F49" s="31"/>
      <c r="G49" s="31"/>
      <c r="H49" s="32"/>
      <c r="I49" s="58" t="s">
        <v>67</v>
      </c>
      <c r="J49" s="50"/>
      <c r="K49" s="51"/>
      <c r="L49" s="51"/>
      <c r="M49" s="52"/>
      <c r="N49" s="56" t="s">
        <v>67</v>
      </c>
      <c r="O49" s="57"/>
      <c r="P49" s="54"/>
      <c r="Q49" s="66"/>
    </row>
    <row r="50" ht="24.75" customHeight="1" spans="17:17">
      <c r="Q50" s="67" t="s">
        <v>1</v>
      </c>
    </row>
    <row r="55" spans="15:15">
      <c r="O55" s="14"/>
    </row>
    <row r="70" hidden="1" spans="2:2">
      <c r="B70" s="2" t="s">
        <v>68</v>
      </c>
    </row>
    <row r="71" hidden="1" spans="2:2">
      <c r="B71" s="2" t="s">
        <v>69</v>
      </c>
    </row>
    <row r="72" hidden="1" spans="2:2">
      <c r="B72" s="2" t="s">
        <v>70</v>
      </c>
    </row>
    <row r="73" hidden="1" spans="2:2">
      <c r="B73" s="2" t="s">
        <v>71</v>
      </c>
    </row>
  </sheetData>
  <mergeCells count="95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O31:Q31"/>
    <mergeCell ref="B32:J32"/>
    <mergeCell ref="O32:Q32"/>
    <mergeCell ref="O35:Q35"/>
    <mergeCell ref="O36:Q36"/>
    <mergeCell ref="B37:G37"/>
    <mergeCell ref="O37:Q37"/>
    <mergeCell ref="J38:N38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5:C45"/>
    <mergeCell ref="D45:E45"/>
    <mergeCell ref="F45:M45"/>
    <mergeCell ref="N45:Q45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49:C49"/>
    <mergeCell ref="D49:H49"/>
    <mergeCell ref="J49:M49"/>
    <mergeCell ref="N49:O49"/>
    <mergeCell ref="P49:Q49"/>
    <mergeCell ref="B11:B12"/>
    <mergeCell ref="B13:B19"/>
    <mergeCell ref="B23:B25"/>
    <mergeCell ref="B26:B28"/>
    <mergeCell ref="B29:B31"/>
    <mergeCell ref="C11:C12"/>
    <mergeCell ref="C13:C19"/>
    <mergeCell ref="C23:C25"/>
    <mergeCell ref="C26:C28"/>
    <mergeCell ref="C29:C31"/>
    <mergeCell ref="I11:I12"/>
    <mergeCell ref="I13:I19"/>
    <mergeCell ref="I20:I22"/>
    <mergeCell ref="I23:I25"/>
    <mergeCell ref="I26:I28"/>
    <mergeCell ref="I29:I31"/>
    <mergeCell ref="J11:J12"/>
    <mergeCell ref="Q2:Q4"/>
    <mergeCell ref="F2:P4"/>
    <mergeCell ref="D11:H12"/>
    <mergeCell ref="O11:Q12"/>
    <mergeCell ref="D13:H19"/>
    <mergeCell ref="D23:H25"/>
    <mergeCell ref="D26:H28"/>
    <mergeCell ref="D29:H31"/>
    <mergeCell ref="D20:H22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3 C26 C29">
      <formula1>$B$70:$B$73</formula1>
    </dataValidation>
    <dataValidation allowBlank="1" showInputMessage="1" showErrorMessage="1" promptTitle="Total" prompt="Total de hallazgos" sqref="B32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6" workbookViewId="0">
      <selection activeCell="K9" sqref="K9:Q9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8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17" t="s">
        <v>88</v>
      </c>
      <c r="F9" s="17"/>
      <c r="G9" s="17"/>
      <c r="H9" s="17"/>
      <c r="I9" s="17"/>
      <c r="J9" s="39" t="s">
        <v>13</v>
      </c>
      <c r="K9" s="40" t="s">
        <v>89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90</v>
      </c>
      <c r="E13" s="22"/>
      <c r="F13" s="22"/>
      <c r="G13" s="22"/>
      <c r="H13" s="22"/>
      <c r="I13" s="22" t="s">
        <v>91</v>
      </c>
      <c r="J13" s="42" t="s">
        <v>92</v>
      </c>
      <c r="K13" s="43" t="s">
        <v>29</v>
      </c>
      <c r="L13" s="43"/>
      <c r="M13" s="43"/>
      <c r="N13" s="43"/>
      <c r="O13" s="44"/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54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93</v>
      </c>
      <c r="K14" s="43"/>
      <c r="L14" s="43" t="s">
        <v>29</v>
      </c>
      <c r="M14" s="43"/>
      <c r="N14" s="43"/>
      <c r="O14" s="44" t="s">
        <v>94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95</v>
      </c>
      <c r="K15" s="43"/>
      <c r="L15" s="43"/>
      <c r="M15" s="43" t="s">
        <v>29</v>
      </c>
      <c r="N15" s="43"/>
      <c r="O15" s="44" t="s">
        <v>96</v>
      </c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53</v>
      </c>
      <c r="K16" s="43" t="s">
        <v>29</v>
      </c>
      <c r="L16" s="43"/>
      <c r="M16" s="43"/>
      <c r="N16" s="43"/>
      <c r="O16" s="44"/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 t="s">
        <v>55</v>
      </c>
      <c r="K17" s="43" t="s">
        <v>29</v>
      </c>
      <c r="L17" s="43"/>
      <c r="M17" s="43"/>
      <c r="N17" s="43"/>
      <c r="O17" s="44"/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 t="s">
        <v>97</v>
      </c>
      <c r="K18" s="43" t="s">
        <v>29</v>
      </c>
      <c r="L18" s="43"/>
      <c r="M18" s="43"/>
      <c r="N18" s="43"/>
      <c r="O18" s="44" t="s">
        <v>98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 t="s">
        <v>99</v>
      </c>
      <c r="K19" s="43"/>
      <c r="L19" s="43"/>
      <c r="M19" s="43"/>
      <c r="N19" s="43" t="s">
        <v>29</v>
      </c>
      <c r="O19" s="44" t="s">
        <v>100</v>
      </c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 t="s">
        <v>101</v>
      </c>
      <c r="K20" s="43" t="s">
        <v>29</v>
      </c>
      <c r="L20" s="43"/>
      <c r="M20" s="43"/>
      <c r="N20" s="43"/>
      <c r="O20" s="44"/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 t="s">
        <v>102</v>
      </c>
      <c r="K21" s="43" t="s">
        <v>29</v>
      </c>
      <c r="L21" s="43"/>
      <c r="M21" s="43"/>
      <c r="N21" s="43"/>
      <c r="O21" s="44" t="s">
        <v>103</v>
      </c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 t="s">
        <v>104</v>
      </c>
      <c r="K22" s="43" t="s">
        <v>29</v>
      </c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 t="s">
        <v>105</v>
      </c>
      <c r="K23" s="43" t="s">
        <v>29</v>
      </c>
      <c r="L23" s="43"/>
      <c r="M23" s="43"/>
      <c r="N23" s="43"/>
      <c r="O23" s="44"/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/>
      <c r="S25" s="14"/>
      <c r="T25" s="62"/>
    </row>
    <row r="26" ht="41.2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41.25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22"/>
      <c r="K28" s="40"/>
      <c r="L28" s="40"/>
      <c r="M28" s="40"/>
      <c r="N28" s="40"/>
      <c r="O28" s="22"/>
      <c r="P28" s="22"/>
      <c r="Q28" s="22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22"/>
      <c r="K29" s="40"/>
      <c r="L29" s="40"/>
      <c r="M29" s="40"/>
      <c r="N29" s="40"/>
      <c r="O29" s="22"/>
      <c r="P29" s="22"/>
      <c r="Q29" s="22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22"/>
      <c r="K30" s="40"/>
      <c r="L30" s="40"/>
      <c r="M30" s="40"/>
      <c r="N30" s="40"/>
      <c r="O30" s="22"/>
      <c r="P30" s="22"/>
      <c r="Q30" s="22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8</v>
      </c>
      <c r="L31" s="23">
        <f t="shared" si="0"/>
        <v>1</v>
      </c>
      <c r="M31" s="23">
        <f t="shared" si="0"/>
        <v>1</v>
      </c>
      <c r="N31" s="23">
        <f t="shared" si="0"/>
        <v>1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25"/>
      <c r="P34" s="25"/>
      <c r="Q34" s="25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69"/>
      <c r="P35" s="69"/>
      <c r="Q35" s="69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70" t="s">
        <v>58</v>
      </c>
      <c r="P36" s="70"/>
      <c r="Q36" s="70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4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B31:J31"/>
    <mergeCell ref="O31:Q31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J28:J30"/>
    <mergeCell ref="K28:K30"/>
    <mergeCell ref="L28:L30"/>
    <mergeCell ref="M28:M30"/>
    <mergeCell ref="N28:N30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  <mergeCell ref="O28:Q30"/>
  </mergeCells>
  <dataValidations count="14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type="list" allowBlank="1" showInputMessage="1" showErrorMessage="1" sqref="K28:N28">
      <formula1>$R$24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6" workbookViewId="0">
      <selection activeCell="L15" sqref="L15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8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17" t="s">
        <v>106</v>
      </c>
      <c r="F9" s="17"/>
      <c r="G9" s="17"/>
      <c r="H9" s="17"/>
      <c r="I9" s="17"/>
      <c r="J9" s="39" t="s">
        <v>13</v>
      </c>
      <c r="K9" s="40" t="s">
        <v>107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99" customHeight="1" spans="2:30">
      <c r="B13" s="22"/>
      <c r="C13" s="22"/>
      <c r="D13" s="22" t="s">
        <v>108</v>
      </c>
      <c r="E13" s="22"/>
      <c r="F13" s="22"/>
      <c r="G13" s="22"/>
      <c r="H13" s="22"/>
      <c r="I13" s="22" t="s">
        <v>109</v>
      </c>
      <c r="J13" s="42" t="s">
        <v>110</v>
      </c>
      <c r="K13" s="43"/>
      <c r="L13" s="43"/>
      <c r="M13" s="43" t="s">
        <v>29</v>
      </c>
      <c r="N13" s="43"/>
      <c r="O13" s="44" t="s">
        <v>111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8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112</v>
      </c>
      <c r="K14" s="43" t="s">
        <v>29</v>
      </c>
      <c r="L14" s="43"/>
      <c r="M14" s="43"/>
      <c r="N14" s="43"/>
      <c r="O14" s="44"/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113</v>
      </c>
      <c r="K15" s="43"/>
      <c r="L15" s="43" t="s">
        <v>29</v>
      </c>
      <c r="M15" s="43"/>
      <c r="N15" s="43"/>
      <c r="O15" s="44" t="s">
        <v>114</v>
      </c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69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115</v>
      </c>
      <c r="K16" s="43"/>
      <c r="L16" s="43"/>
      <c r="M16" s="43" t="s">
        <v>29</v>
      </c>
      <c r="N16" s="43"/>
      <c r="O16" s="44" t="s">
        <v>116</v>
      </c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 t="s">
        <v>117</v>
      </c>
      <c r="K17" s="43" t="s">
        <v>29</v>
      </c>
      <c r="L17" s="43"/>
      <c r="M17" s="43"/>
      <c r="N17" s="43"/>
      <c r="O17" s="44"/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 t="s">
        <v>118</v>
      </c>
      <c r="K18" s="43"/>
      <c r="L18" s="43"/>
      <c r="M18" s="43" t="s">
        <v>29</v>
      </c>
      <c r="N18" s="43"/>
      <c r="O18" s="44" t="s">
        <v>119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/>
      <c r="K19" s="43"/>
      <c r="L19" s="43"/>
      <c r="M19" s="43"/>
      <c r="N19" s="43"/>
      <c r="O19" s="44"/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/>
      <c r="K20" s="43"/>
      <c r="L20" s="43"/>
      <c r="M20" s="43"/>
      <c r="N20" s="43"/>
      <c r="O20" s="44"/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/>
      <c r="K21" s="43"/>
      <c r="L21" s="43"/>
      <c r="M21" s="43"/>
      <c r="N21" s="43"/>
      <c r="O21" s="44"/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/>
      <c r="K22" s="43"/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/>
      <c r="K23" s="43"/>
      <c r="L23" s="43"/>
      <c r="M23" s="43"/>
      <c r="N23" s="43"/>
      <c r="O23" s="44"/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/>
      <c r="S25" s="14"/>
      <c r="T25" s="62"/>
    </row>
    <row r="26" ht="41.2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41.25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2</v>
      </c>
      <c r="L31" s="23">
        <f t="shared" si="0"/>
        <v>1</v>
      </c>
      <c r="M31" s="23">
        <f t="shared" si="0"/>
        <v>3</v>
      </c>
      <c r="N31" s="23">
        <f t="shared" si="0"/>
        <v>0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25"/>
      <c r="P34" s="25"/>
      <c r="Q34" s="25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69"/>
      <c r="P35" s="69"/>
      <c r="Q35" s="69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70" t="s">
        <v>58</v>
      </c>
      <c r="P36" s="70"/>
      <c r="Q36" s="70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1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13" workbookViewId="0">
      <selection activeCell="J17" sqref="J17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8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17" t="s">
        <v>120</v>
      </c>
      <c r="F9" s="17"/>
      <c r="G9" s="17"/>
      <c r="H9" s="17"/>
      <c r="I9" s="17"/>
      <c r="J9" s="39" t="s">
        <v>13</v>
      </c>
      <c r="K9" s="40" t="s">
        <v>121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120</v>
      </c>
      <c r="E13" s="22"/>
      <c r="F13" s="22"/>
      <c r="G13" s="22"/>
      <c r="H13" s="22"/>
      <c r="I13" s="22" t="s">
        <v>122</v>
      </c>
      <c r="J13" s="42" t="s">
        <v>123</v>
      </c>
      <c r="K13" s="43" t="s">
        <v>29</v>
      </c>
      <c r="L13" s="43"/>
      <c r="M13" s="43"/>
      <c r="N13" s="43"/>
      <c r="O13" s="44"/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1.25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124</v>
      </c>
      <c r="K14" s="43" t="s">
        <v>29</v>
      </c>
      <c r="L14" s="43"/>
      <c r="M14" s="43"/>
      <c r="N14" s="43"/>
      <c r="O14" s="44"/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125</v>
      </c>
      <c r="K15" s="43"/>
      <c r="L15" s="43" t="s">
        <v>29</v>
      </c>
      <c r="M15" s="43"/>
      <c r="N15" s="43"/>
      <c r="O15" s="44" t="s">
        <v>126</v>
      </c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127</v>
      </c>
      <c r="K16" s="43" t="s">
        <v>29</v>
      </c>
      <c r="L16" s="43"/>
      <c r="M16" s="43"/>
      <c r="N16" s="43"/>
      <c r="O16" s="44"/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 t="s">
        <v>128</v>
      </c>
      <c r="K17" s="43"/>
      <c r="L17" s="43" t="s">
        <v>29</v>
      </c>
      <c r="M17" s="43"/>
      <c r="N17" s="43"/>
      <c r="O17" s="44" t="s">
        <v>129</v>
      </c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 t="s">
        <v>130</v>
      </c>
      <c r="K18" s="43"/>
      <c r="L18" s="43" t="s">
        <v>29</v>
      </c>
      <c r="M18" s="43"/>
      <c r="N18" s="43"/>
      <c r="O18" s="44" t="s">
        <v>129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 t="s">
        <v>131</v>
      </c>
      <c r="K19" s="43"/>
      <c r="L19" s="43" t="s">
        <v>29</v>
      </c>
      <c r="M19" s="43"/>
      <c r="N19" s="43"/>
      <c r="O19" s="44" t="s">
        <v>132</v>
      </c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 t="s">
        <v>133</v>
      </c>
      <c r="K20" s="43" t="s">
        <v>29</v>
      </c>
      <c r="L20" s="43"/>
      <c r="M20" s="43"/>
      <c r="N20" s="43"/>
      <c r="O20" s="44"/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5" spans="2:30">
      <c r="B21" s="22"/>
      <c r="C21" s="22"/>
      <c r="D21" s="22"/>
      <c r="E21" s="22"/>
      <c r="F21" s="22"/>
      <c r="G21" s="22"/>
      <c r="H21" s="22"/>
      <c r="I21" s="22"/>
      <c r="J21" s="42" t="s">
        <v>134</v>
      </c>
      <c r="K21" s="43" t="s">
        <v>29</v>
      </c>
      <c r="L21" s="43"/>
      <c r="M21" s="43"/>
      <c r="N21" s="43"/>
      <c r="O21" s="44" t="s">
        <v>135</v>
      </c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 t="s">
        <v>136</v>
      </c>
      <c r="K22" s="43" t="s">
        <v>29</v>
      </c>
      <c r="L22" s="43"/>
      <c r="M22" s="43"/>
      <c r="N22" s="43"/>
      <c r="O22" s="44" t="s">
        <v>137</v>
      </c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 t="s">
        <v>138</v>
      </c>
      <c r="K23" s="43" t="s">
        <v>29</v>
      </c>
      <c r="L23" s="43"/>
      <c r="M23" s="43"/>
      <c r="N23" s="43"/>
      <c r="O23" s="44" t="s">
        <v>139</v>
      </c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 t="s">
        <v>140</v>
      </c>
      <c r="K24" s="43" t="s">
        <v>29</v>
      </c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 t="s">
        <v>141</v>
      </c>
      <c r="K25" s="43" t="s">
        <v>29</v>
      </c>
      <c r="L25" s="43"/>
      <c r="M25" s="43"/>
      <c r="N25" s="43"/>
      <c r="O25" s="44" t="s">
        <v>142</v>
      </c>
      <c r="P25" s="45"/>
      <c r="Q25" s="65"/>
      <c r="R25" s="24"/>
      <c r="S25" s="14"/>
      <c r="T25" s="62"/>
    </row>
    <row r="26" ht="41.25" customHeight="1" spans="2:20">
      <c r="B26" s="22"/>
      <c r="C26" s="22"/>
      <c r="D26" s="22"/>
      <c r="E26" s="22"/>
      <c r="F26" s="22"/>
      <c r="G26" s="22"/>
      <c r="H26" s="22"/>
      <c r="I26" s="22"/>
      <c r="J26" s="42" t="s">
        <v>143</v>
      </c>
      <c r="K26" s="43" t="s">
        <v>29</v>
      </c>
      <c r="L26" s="43"/>
      <c r="M26" s="43"/>
      <c r="N26" s="43"/>
      <c r="O26" s="44" t="s">
        <v>144</v>
      </c>
      <c r="P26" s="45"/>
      <c r="Q26" s="65"/>
      <c r="R26" s="24"/>
      <c r="S26" s="14"/>
      <c r="T26" s="62"/>
    </row>
    <row r="27" ht="41.25" customHeight="1" spans="2:20">
      <c r="B27" s="22"/>
      <c r="C27" s="22"/>
      <c r="D27" s="22"/>
      <c r="E27" s="22"/>
      <c r="F27" s="22"/>
      <c r="G27" s="22"/>
      <c r="H27" s="22"/>
      <c r="I27" s="22"/>
      <c r="J27" s="42" t="s">
        <v>145</v>
      </c>
      <c r="K27" s="43" t="s">
        <v>29</v>
      </c>
      <c r="L27" s="43"/>
      <c r="M27" s="43"/>
      <c r="N27" s="43"/>
      <c r="O27" s="44" t="s">
        <v>146</v>
      </c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11</v>
      </c>
      <c r="L31" s="23">
        <f t="shared" si="0"/>
        <v>4</v>
      </c>
      <c r="M31" s="23">
        <f t="shared" si="0"/>
        <v>0</v>
      </c>
      <c r="N31" s="23">
        <f t="shared" si="0"/>
        <v>0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25"/>
      <c r="P34" s="25"/>
      <c r="Q34" s="25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69"/>
      <c r="P35" s="69"/>
      <c r="Q35" s="69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70" t="s">
        <v>58</v>
      </c>
      <c r="P36" s="70"/>
      <c r="Q36" s="70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1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abSelected="1" topLeftCell="D1" workbookViewId="0">
      <selection activeCell="K9" sqref="K9:Q9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147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17" t="s">
        <v>148</v>
      </c>
      <c r="F9" s="17"/>
      <c r="G9" s="17"/>
      <c r="H9" s="17"/>
      <c r="I9" s="17"/>
      <c r="J9" s="39" t="s">
        <v>13</v>
      </c>
      <c r="K9" s="40" t="s">
        <v>149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150</v>
      </c>
      <c r="E13" s="22"/>
      <c r="F13" s="22"/>
      <c r="G13" s="22"/>
      <c r="H13" s="22"/>
      <c r="I13" s="22" t="s">
        <v>151</v>
      </c>
      <c r="J13" s="42" t="s">
        <v>152</v>
      </c>
      <c r="K13" s="43"/>
      <c r="L13" s="43"/>
      <c r="M13" s="43" t="s">
        <v>29</v>
      </c>
      <c r="N13" s="43"/>
      <c r="O13" s="44" t="s">
        <v>153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1.25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154</v>
      </c>
      <c r="K14" s="43" t="s">
        <v>29</v>
      </c>
      <c r="L14" s="43"/>
      <c r="M14" s="43"/>
      <c r="N14" s="43"/>
      <c r="O14" s="44"/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155</v>
      </c>
      <c r="K15" s="43" t="s">
        <v>29</v>
      </c>
      <c r="L15" s="43"/>
      <c r="M15" s="43"/>
      <c r="N15" s="43"/>
      <c r="O15" s="44"/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156</v>
      </c>
      <c r="K16" s="43"/>
      <c r="L16" s="43"/>
      <c r="M16" s="43" t="s">
        <v>29</v>
      </c>
      <c r="N16" s="43"/>
      <c r="O16" s="44" t="s">
        <v>157</v>
      </c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 t="s">
        <v>158</v>
      </c>
      <c r="K17" s="43"/>
      <c r="L17" s="43" t="s">
        <v>29</v>
      </c>
      <c r="M17" s="43"/>
      <c r="N17" s="43"/>
      <c r="O17" s="44"/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 t="s">
        <v>159</v>
      </c>
      <c r="K18" s="43" t="s">
        <v>29</v>
      </c>
      <c r="L18" s="43"/>
      <c r="M18" s="43"/>
      <c r="N18" s="43"/>
      <c r="O18" s="44"/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 t="s">
        <v>160</v>
      </c>
      <c r="K19" s="43" t="s">
        <v>29</v>
      </c>
      <c r="L19" s="43"/>
      <c r="M19" s="43"/>
      <c r="N19" s="43"/>
      <c r="O19" s="44"/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 t="s">
        <v>161</v>
      </c>
      <c r="K20" s="43"/>
      <c r="L20" s="43" t="s">
        <v>29</v>
      </c>
      <c r="M20" s="43"/>
      <c r="N20" s="43"/>
      <c r="O20" s="44" t="s">
        <v>162</v>
      </c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 t="s">
        <v>163</v>
      </c>
      <c r="K21" s="43" t="s">
        <v>29</v>
      </c>
      <c r="L21" s="43"/>
      <c r="M21" s="43"/>
      <c r="N21" s="43"/>
      <c r="O21" s="44"/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 t="s">
        <v>164</v>
      </c>
      <c r="K22" s="43" t="s">
        <v>29</v>
      </c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 t="s">
        <v>165</v>
      </c>
      <c r="K23" s="43" t="s">
        <v>29</v>
      </c>
      <c r="L23" s="43"/>
      <c r="M23" s="43"/>
      <c r="N23" s="43"/>
      <c r="O23" s="44" t="s">
        <v>166</v>
      </c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 t="s">
        <v>167</v>
      </c>
      <c r="K24" s="43"/>
      <c r="L24" s="43"/>
      <c r="M24" s="43" t="s">
        <v>29</v>
      </c>
      <c r="N24" s="43"/>
      <c r="O24" s="44" t="s">
        <v>168</v>
      </c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 t="s">
        <v>169</v>
      </c>
      <c r="K25" s="43" t="s">
        <v>29</v>
      </c>
      <c r="L25" s="43"/>
      <c r="M25" s="43"/>
      <c r="N25" s="43"/>
      <c r="O25" s="44" t="s">
        <v>170</v>
      </c>
      <c r="P25" s="45"/>
      <c r="Q25" s="65"/>
      <c r="R25" s="24"/>
      <c r="S25" s="14"/>
      <c r="T25" s="62"/>
    </row>
    <row r="26" ht="65" customHeight="1" spans="2:20">
      <c r="B26" s="22"/>
      <c r="C26" s="22"/>
      <c r="D26" s="22"/>
      <c r="E26" s="22"/>
      <c r="F26" s="22"/>
      <c r="G26" s="22"/>
      <c r="H26" s="22"/>
      <c r="I26" s="22"/>
      <c r="J26" s="42" t="s">
        <v>171</v>
      </c>
      <c r="K26" s="43"/>
      <c r="L26" s="43"/>
      <c r="M26" s="43" t="s">
        <v>29</v>
      </c>
      <c r="N26" s="43"/>
      <c r="O26" s="44" t="s">
        <v>172</v>
      </c>
      <c r="P26" s="45"/>
      <c r="Q26" s="65"/>
      <c r="R26" s="24"/>
      <c r="S26" s="14"/>
      <c r="T26" s="62"/>
    </row>
    <row r="27" ht="72" customHeight="1" spans="2:20">
      <c r="B27" s="22"/>
      <c r="C27" s="22"/>
      <c r="D27" s="22"/>
      <c r="E27" s="22"/>
      <c r="F27" s="22"/>
      <c r="G27" s="22"/>
      <c r="H27" s="22"/>
      <c r="I27" s="22"/>
      <c r="J27" s="42" t="s">
        <v>173</v>
      </c>
      <c r="K27" s="43"/>
      <c r="L27" s="43"/>
      <c r="M27" s="43" t="s">
        <v>29</v>
      </c>
      <c r="N27" s="43"/>
      <c r="O27" s="44" t="s">
        <v>174</v>
      </c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 t="s">
        <v>175</v>
      </c>
      <c r="K28" s="43"/>
      <c r="L28" s="43"/>
      <c r="M28" s="43" t="s">
        <v>176</v>
      </c>
      <c r="N28" s="43"/>
      <c r="O28" s="44" t="s">
        <v>177</v>
      </c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 t="s">
        <v>178</v>
      </c>
      <c r="K29" s="43"/>
      <c r="L29" s="43"/>
      <c r="M29" s="43" t="s">
        <v>29</v>
      </c>
      <c r="N29" s="43"/>
      <c r="O29" s="44" t="s">
        <v>179</v>
      </c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 t="s">
        <v>180</v>
      </c>
      <c r="K30" s="43"/>
      <c r="L30" s="43"/>
      <c r="M30" s="43"/>
      <c r="N30" s="43" t="s">
        <v>29</v>
      </c>
      <c r="O30" s="44" t="s">
        <v>181</v>
      </c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8</v>
      </c>
      <c r="L31" s="23">
        <f t="shared" si="0"/>
        <v>2</v>
      </c>
      <c r="M31" s="23">
        <f t="shared" si="0"/>
        <v>6</v>
      </c>
      <c r="N31" s="23">
        <f t="shared" si="0"/>
        <v>1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6" t="s">
        <v>182</v>
      </c>
      <c r="P32" s="46"/>
      <c r="Q32" s="46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P33" s="2" t="s">
        <v>183</v>
      </c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46" t="s">
        <v>184</v>
      </c>
      <c r="P34" s="46"/>
      <c r="Q34" s="46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46" t="s">
        <v>185</v>
      </c>
      <c r="P35" s="46"/>
      <c r="Q35" s="46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46" t="s">
        <v>186</v>
      </c>
      <c r="P36" s="46"/>
      <c r="Q36" s="46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2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2:Q32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15" workbookViewId="0">
      <selection activeCell="O24" sqref="O24:Q24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187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17" t="s">
        <v>188</v>
      </c>
      <c r="F9" s="17"/>
      <c r="G9" s="17"/>
      <c r="H9" s="17"/>
      <c r="I9" s="17"/>
      <c r="J9" s="39" t="s">
        <v>13</v>
      </c>
      <c r="K9" s="40" t="s">
        <v>189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190</v>
      </c>
      <c r="E13" s="22"/>
      <c r="F13" s="22"/>
      <c r="G13" s="22"/>
      <c r="H13" s="22"/>
      <c r="I13" s="22" t="s">
        <v>191</v>
      </c>
      <c r="J13" s="42" t="s">
        <v>192</v>
      </c>
      <c r="K13" s="43" t="s">
        <v>29</v>
      </c>
      <c r="L13" s="43"/>
      <c r="M13" s="43"/>
      <c r="N13" s="43"/>
      <c r="O13" s="44"/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1.25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193</v>
      </c>
      <c r="K14" s="43" t="s">
        <v>29</v>
      </c>
      <c r="L14" s="43"/>
      <c r="M14" s="43"/>
      <c r="N14" s="43"/>
      <c r="O14" s="44"/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194</v>
      </c>
      <c r="K15" s="43" t="s">
        <v>29</v>
      </c>
      <c r="L15" s="43"/>
      <c r="M15" s="43"/>
      <c r="N15" s="43"/>
      <c r="O15" s="44"/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195</v>
      </c>
      <c r="K16" s="43" t="s">
        <v>29</v>
      </c>
      <c r="L16" s="43"/>
      <c r="M16" s="43"/>
      <c r="N16" s="43"/>
      <c r="O16" s="44"/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 t="s">
        <v>196</v>
      </c>
      <c r="K17" s="43" t="s">
        <v>29</v>
      </c>
      <c r="L17" s="43"/>
      <c r="M17" s="43"/>
      <c r="N17" s="43"/>
      <c r="O17" s="44" t="s">
        <v>197</v>
      </c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 t="s">
        <v>198</v>
      </c>
      <c r="K18" s="43"/>
      <c r="L18" s="43" t="s">
        <v>29</v>
      </c>
      <c r="M18" s="43"/>
      <c r="N18" s="43"/>
      <c r="O18" s="44" t="s">
        <v>129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 t="s">
        <v>199</v>
      </c>
      <c r="K19" s="43"/>
      <c r="L19" s="43" t="s">
        <v>29</v>
      </c>
      <c r="M19" s="43"/>
      <c r="N19" s="43"/>
      <c r="O19" s="44" t="s">
        <v>200</v>
      </c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 t="s">
        <v>201</v>
      </c>
      <c r="K20" s="43" t="s">
        <v>29</v>
      </c>
      <c r="L20" s="43"/>
      <c r="M20" s="43"/>
      <c r="N20" s="43"/>
      <c r="O20" s="44" t="s">
        <v>202</v>
      </c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 t="s">
        <v>203</v>
      </c>
      <c r="K21" s="43"/>
      <c r="L21" s="43"/>
      <c r="M21" s="43" t="s">
        <v>29</v>
      </c>
      <c r="N21" s="43"/>
      <c r="O21" s="44" t="s">
        <v>129</v>
      </c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 t="s">
        <v>204</v>
      </c>
      <c r="K22" s="43"/>
      <c r="L22" s="43" t="s">
        <v>29</v>
      </c>
      <c r="M22" s="43"/>
      <c r="N22" s="43"/>
      <c r="O22" s="44" t="s">
        <v>205</v>
      </c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 t="s">
        <v>206</v>
      </c>
      <c r="K23" s="43"/>
      <c r="L23" s="43"/>
      <c r="M23" s="43"/>
      <c r="N23" s="43"/>
      <c r="O23" s="44" t="s">
        <v>207</v>
      </c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 t="s">
        <v>208</v>
      </c>
      <c r="K24" s="43"/>
      <c r="L24" s="43"/>
      <c r="M24" s="43" t="s">
        <v>29</v>
      </c>
      <c r="N24" s="43"/>
      <c r="O24" s="44" t="s">
        <v>209</v>
      </c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 t="s">
        <v>210</v>
      </c>
      <c r="K25" s="43" t="s">
        <v>29</v>
      </c>
      <c r="L25" s="43"/>
      <c r="M25" s="43"/>
      <c r="N25" s="43"/>
      <c r="O25" s="44"/>
      <c r="P25" s="45"/>
      <c r="Q25" s="65"/>
      <c r="R25" s="24"/>
      <c r="S25" s="14"/>
      <c r="T25" s="62"/>
    </row>
    <row r="26" ht="65" customHeight="1" spans="2:20">
      <c r="B26" s="22"/>
      <c r="C26" s="22"/>
      <c r="D26" s="22"/>
      <c r="E26" s="22"/>
      <c r="F26" s="22"/>
      <c r="G26" s="22"/>
      <c r="H26" s="22"/>
      <c r="I26" s="22"/>
      <c r="J26" s="42" t="s">
        <v>211</v>
      </c>
      <c r="K26" s="43"/>
      <c r="L26" s="43" t="s">
        <v>29</v>
      </c>
      <c r="M26" s="43"/>
      <c r="N26" s="43"/>
      <c r="O26" s="44" t="s">
        <v>129</v>
      </c>
      <c r="P26" s="45"/>
      <c r="Q26" s="65"/>
      <c r="R26" s="24"/>
      <c r="S26" s="14"/>
      <c r="T26" s="62"/>
    </row>
    <row r="27" ht="72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7</v>
      </c>
      <c r="L31" s="23">
        <f t="shared" si="0"/>
        <v>4</v>
      </c>
      <c r="M31" s="23">
        <f t="shared" si="0"/>
        <v>2</v>
      </c>
      <c r="N31" s="23">
        <f t="shared" si="0"/>
        <v>0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6" t="s">
        <v>212</v>
      </c>
      <c r="P32" s="46"/>
      <c r="Q32" s="46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46"/>
      <c r="P34" s="46"/>
      <c r="Q34" s="46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46"/>
      <c r="P35" s="46"/>
      <c r="Q35" s="46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46"/>
      <c r="P36" s="46"/>
      <c r="Q36" s="46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2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2:Q32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D13:H15"/>
    <mergeCell ref="D16:H18"/>
    <mergeCell ref="D19:H21"/>
    <mergeCell ref="D22:H24"/>
    <mergeCell ref="D25:H27"/>
    <mergeCell ref="D28:H30"/>
    <mergeCell ref="O11:Q12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5" workbookViewId="0">
      <selection activeCell="L8" sqref="L8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187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20" t="s">
        <v>213</v>
      </c>
      <c r="F9" s="20"/>
      <c r="G9" s="20"/>
      <c r="H9" s="20"/>
      <c r="I9" s="20"/>
      <c r="J9" s="39" t="s">
        <v>13</v>
      </c>
      <c r="K9" s="40" t="s">
        <v>214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213</v>
      </c>
      <c r="E13" s="22"/>
      <c r="F13" s="22"/>
      <c r="G13" s="22"/>
      <c r="H13" s="22"/>
      <c r="I13" s="22" t="s">
        <v>215</v>
      </c>
      <c r="J13" s="68" t="s">
        <v>216</v>
      </c>
      <c r="K13" s="43" t="s">
        <v>29</v>
      </c>
      <c r="L13" s="43"/>
      <c r="M13" s="43"/>
      <c r="N13" s="43"/>
      <c r="O13" s="44"/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1.25" customHeight="1" spans="2:30">
      <c r="B14" s="22"/>
      <c r="C14" s="22"/>
      <c r="D14" s="22"/>
      <c r="E14" s="22"/>
      <c r="F14" s="22"/>
      <c r="G14" s="22"/>
      <c r="H14" s="22"/>
      <c r="I14" s="22"/>
      <c r="J14" s="68" t="s">
        <v>217</v>
      </c>
      <c r="K14" s="43"/>
      <c r="L14" s="43"/>
      <c r="M14" s="43"/>
      <c r="N14" s="43" t="s">
        <v>29</v>
      </c>
      <c r="O14" s="44" t="s">
        <v>218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68" t="s">
        <v>219</v>
      </c>
      <c r="K15" s="43" t="s">
        <v>29</v>
      </c>
      <c r="L15" s="43"/>
      <c r="M15" s="43"/>
      <c r="N15" s="43"/>
      <c r="O15" s="44"/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68" t="s">
        <v>220</v>
      </c>
      <c r="K16" s="43"/>
      <c r="L16" s="43"/>
      <c r="M16" s="43"/>
      <c r="N16" s="43" t="s">
        <v>29</v>
      </c>
      <c r="O16" s="44" t="s">
        <v>221</v>
      </c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68" t="s">
        <v>222</v>
      </c>
      <c r="K17" s="43"/>
      <c r="L17" s="43"/>
      <c r="M17" s="43" t="s">
        <v>29</v>
      </c>
      <c r="N17" s="43"/>
      <c r="O17" s="44" t="s">
        <v>223</v>
      </c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68" t="s">
        <v>224</v>
      </c>
      <c r="K18" s="43" t="s">
        <v>29</v>
      </c>
      <c r="L18" s="43"/>
      <c r="M18" s="43"/>
      <c r="N18" s="43"/>
      <c r="O18" s="44" t="s">
        <v>225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68" t="s">
        <v>226</v>
      </c>
      <c r="K19" s="43"/>
      <c r="L19" s="43"/>
      <c r="M19" s="43" t="s">
        <v>29</v>
      </c>
      <c r="N19" s="43"/>
      <c r="O19" s="44" t="s">
        <v>227</v>
      </c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 t="s">
        <v>228</v>
      </c>
      <c r="K20" s="43"/>
      <c r="L20" s="43" t="s">
        <v>29</v>
      </c>
      <c r="M20" s="43"/>
      <c r="N20" s="43"/>
      <c r="O20" s="44" t="s">
        <v>229</v>
      </c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51" customHeight="1" spans="2:30">
      <c r="B21" s="22"/>
      <c r="C21" s="22"/>
      <c r="D21" s="22"/>
      <c r="E21" s="22"/>
      <c r="F21" s="22"/>
      <c r="G21" s="22"/>
      <c r="H21" s="22"/>
      <c r="I21" s="22"/>
      <c r="J21" s="42"/>
      <c r="K21" s="43"/>
      <c r="L21" s="43"/>
      <c r="M21" s="43"/>
      <c r="N21" s="43"/>
      <c r="O21" s="44"/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/>
      <c r="K22" s="43"/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/>
      <c r="K23" s="43"/>
      <c r="L23" s="43"/>
      <c r="M23" s="43"/>
      <c r="N23" s="43"/>
      <c r="O23" s="44"/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/>
      <c r="S25" s="14"/>
      <c r="T25" s="62"/>
    </row>
    <row r="26" ht="6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72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3</v>
      </c>
      <c r="L31" s="23">
        <f t="shared" si="0"/>
        <v>1</v>
      </c>
      <c r="M31" s="23">
        <f t="shared" si="0"/>
        <v>2</v>
      </c>
      <c r="N31" s="23">
        <f t="shared" si="0"/>
        <v>2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6" t="s">
        <v>182</v>
      </c>
      <c r="P32" s="46"/>
      <c r="Q32" s="46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P33" s="2" t="s">
        <v>183</v>
      </c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46" t="s">
        <v>184</v>
      </c>
      <c r="P34" s="46"/>
      <c r="Q34" s="46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46" t="s">
        <v>185</v>
      </c>
      <c r="P35" s="46"/>
      <c r="Q35" s="46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46" t="s">
        <v>186</v>
      </c>
      <c r="P36" s="46"/>
      <c r="Q36" s="46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2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2:Q32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D7" workbookViewId="0">
      <selection activeCell="K8" sqref="K8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187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20" t="s">
        <v>230</v>
      </c>
      <c r="F9" s="20"/>
      <c r="G9" s="20"/>
      <c r="H9" s="20"/>
      <c r="I9" s="20"/>
      <c r="J9" s="39" t="s">
        <v>13</v>
      </c>
      <c r="K9" s="40" t="s">
        <v>231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230</v>
      </c>
      <c r="E13" s="22"/>
      <c r="F13" s="22"/>
      <c r="G13" s="22"/>
      <c r="H13" s="22"/>
      <c r="I13" s="22" t="s">
        <v>232</v>
      </c>
      <c r="J13" s="42" t="s">
        <v>233</v>
      </c>
      <c r="K13" s="43" t="s">
        <v>29</v>
      </c>
      <c r="L13" s="43"/>
      <c r="M13" s="43"/>
      <c r="N13" s="43"/>
      <c r="O13" s="44" t="s">
        <v>234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1.25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235</v>
      </c>
      <c r="K14" s="43" t="s">
        <v>29</v>
      </c>
      <c r="L14" s="43"/>
      <c r="M14" s="43"/>
      <c r="N14" s="43"/>
      <c r="O14" s="44" t="s">
        <v>236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237</v>
      </c>
      <c r="K15" s="43"/>
      <c r="L15" s="43" t="s">
        <v>29</v>
      </c>
      <c r="M15" s="43"/>
      <c r="N15" s="43"/>
      <c r="O15" s="44" t="s">
        <v>238</v>
      </c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239</v>
      </c>
      <c r="K16" s="43"/>
      <c r="L16" s="43" t="s">
        <v>29</v>
      </c>
      <c r="M16" s="43"/>
      <c r="N16" s="43"/>
      <c r="O16" s="44" t="s">
        <v>240</v>
      </c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 t="s">
        <v>241</v>
      </c>
      <c r="K17" s="43"/>
      <c r="L17" s="43" t="s">
        <v>29</v>
      </c>
      <c r="M17" s="43"/>
      <c r="N17" s="43"/>
      <c r="O17" s="44" t="s">
        <v>240</v>
      </c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 t="s">
        <v>242</v>
      </c>
      <c r="K18" s="43"/>
      <c r="L18" s="43" t="s">
        <v>29</v>
      </c>
      <c r="M18" s="43"/>
      <c r="N18" s="43"/>
      <c r="O18" s="44" t="s">
        <v>240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 t="s">
        <v>243</v>
      </c>
      <c r="K19" s="43"/>
      <c r="L19" s="43" t="s">
        <v>29</v>
      </c>
      <c r="M19" s="43"/>
      <c r="N19" s="43"/>
      <c r="O19" s="44" t="s">
        <v>240</v>
      </c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 t="s">
        <v>244</v>
      </c>
      <c r="K20" s="43" t="s">
        <v>29</v>
      </c>
      <c r="L20" s="43"/>
      <c r="M20" s="43"/>
      <c r="N20" s="43"/>
      <c r="O20" s="44" t="s">
        <v>245</v>
      </c>
      <c r="P20" s="45"/>
      <c r="Q20" s="65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 t="s">
        <v>246</v>
      </c>
      <c r="K21" s="43"/>
      <c r="L21" s="43" t="s">
        <v>29</v>
      </c>
      <c r="M21" s="43"/>
      <c r="N21" s="43"/>
      <c r="O21" s="44" t="s">
        <v>247</v>
      </c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 t="s">
        <v>248</v>
      </c>
      <c r="K22" s="43"/>
      <c r="L22" s="43" t="s">
        <v>29</v>
      </c>
      <c r="M22" s="43"/>
      <c r="N22" s="43"/>
      <c r="O22" s="44" t="s">
        <v>249</v>
      </c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 t="s">
        <v>250</v>
      </c>
      <c r="K23" s="43"/>
      <c r="L23" s="43"/>
      <c r="M23" s="43" t="s">
        <v>29</v>
      </c>
      <c r="N23" s="43"/>
      <c r="O23" s="44" t="s">
        <v>251</v>
      </c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/>
      <c r="S25" s="14"/>
      <c r="T25" s="62"/>
    </row>
    <row r="26" ht="6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72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3</v>
      </c>
      <c r="L31" s="23">
        <f t="shared" si="0"/>
        <v>7</v>
      </c>
      <c r="M31" s="23">
        <f t="shared" si="0"/>
        <v>1</v>
      </c>
      <c r="N31" s="23">
        <f t="shared" si="0"/>
        <v>0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6" t="s">
        <v>182</v>
      </c>
      <c r="P32" s="46"/>
      <c r="Q32" s="46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P33" s="2" t="s">
        <v>183</v>
      </c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46" t="s">
        <v>184</v>
      </c>
      <c r="P34" s="46"/>
      <c r="Q34" s="46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46" t="s">
        <v>185</v>
      </c>
      <c r="P35" s="46"/>
      <c r="Q35" s="46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46" t="s">
        <v>186</v>
      </c>
      <c r="P36" s="46"/>
      <c r="Q36" s="46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2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2:Q32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3" workbookViewId="0">
      <selection activeCell="K8" sqref="K8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187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20" t="s">
        <v>252</v>
      </c>
      <c r="F9" s="20"/>
      <c r="G9" s="20"/>
      <c r="H9" s="20"/>
      <c r="I9" s="20"/>
      <c r="J9" s="39" t="s">
        <v>13</v>
      </c>
      <c r="K9" s="40" t="s">
        <v>231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253</v>
      </c>
      <c r="E13" s="22"/>
      <c r="F13" s="22"/>
      <c r="G13" s="22"/>
      <c r="H13" s="22"/>
      <c r="I13" s="22" t="s">
        <v>254</v>
      </c>
      <c r="J13" s="42" t="s">
        <v>255</v>
      </c>
      <c r="K13" s="43" t="s">
        <v>29</v>
      </c>
      <c r="L13" s="43"/>
      <c r="M13" s="43"/>
      <c r="N13" s="43"/>
      <c r="O13" s="44" t="s">
        <v>256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59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257</v>
      </c>
      <c r="K14" s="43"/>
      <c r="L14" s="43" t="s">
        <v>29</v>
      </c>
      <c r="M14" s="43" t="s">
        <v>29</v>
      </c>
      <c r="N14" s="43"/>
      <c r="O14" s="44" t="s">
        <v>258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61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259</v>
      </c>
      <c r="K15" s="43"/>
      <c r="L15" s="43"/>
      <c r="M15" s="43" t="s">
        <v>29</v>
      </c>
      <c r="N15" s="43"/>
      <c r="O15" s="44" t="s">
        <v>260</v>
      </c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261</v>
      </c>
      <c r="K16" s="43" t="s">
        <v>29</v>
      </c>
      <c r="L16" s="43"/>
      <c r="M16" s="43"/>
      <c r="N16" s="43"/>
      <c r="O16" s="44" t="s">
        <v>262</v>
      </c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/>
      <c r="K17" s="43"/>
      <c r="L17" s="43"/>
      <c r="M17" s="43"/>
      <c r="N17" s="43"/>
      <c r="O17" s="44"/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/>
      <c r="K18" s="43"/>
      <c r="L18" s="43"/>
      <c r="M18" s="43"/>
      <c r="N18" s="43"/>
      <c r="O18" s="44"/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/>
      <c r="K19" s="43"/>
      <c r="L19" s="43"/>
      <c r="M19" s="43"/>
      <c r="N19" s="43"/>
      <c r="O19" s="44"/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/>
      <c r="K20" s="43"/>
      <c r="L20" s="43"/>
      <c r="M20" s="43"/>
      <c r="N20" s="43"/>
      <c r="O20" s="46"/>
      <c r="P20" s="46"/>
      <c r="Q20" s="46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/>
      <c r="K21" s="43"/>
      <c r="L21" s="43"/>
      <c r="M21" s="43"/>
      <c r="N21" s="43"/>
      <c r="O21" s="44"/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/>
      <c r="K22" s="43"/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/>
      <c r="K23" s="43"/>
      <c r="L23" s="43"/>
      <c r="M23" s="43"/>
      <c r="N23" s="43"/>
      <c r="O23" s="44"/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/>
      <c r="S25" s="14"/>
      <c r="T25" s="62"/>
    </row>
    <row r="26" ht="6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72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2</v>
      </c>
      <c r="L31" s="23">
        <f t="shared" si="0"/>
        <v>1</v>
      </c>
      <c r="M31" s="23">
        <f t="shared" si="0"/>
        <v>2</v>
      </c>
      <c r="N31" s="23">
        <f t="shared" si="0"/>
        <v>0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6" t="s">
        <v>182</v>
      </c>
      <c r="P32" s="46"/>
      <c r="Q32" s="46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P33" s="2" t="s">
        <v>183</v>
      </c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46" t="s">
        <v>184</v>
      </c>
      <c r="P34" s="46"/>
      <c r="Q34" s="46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46" t="s">
        <v>185</v>
      </c>
      <c r="P35" s="46"/>
      <c r="Q35" s="46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46" t="s">
        <v>186</v>
      </c>
      <c r="P36" s="46"/>
      <c r="Q36" s="46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2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2:Q32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7" workbookViewId="0">
      <selection activeCell="L8" sqref="L8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187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20"/>
      <c r="F9" s="20"/>
      <c r="G9" s="20"/>
      <c r="H9" s="20"/>
      <c r="I9" s="20"/>
      <c r="J9" s="39" t="s">
        <v>13</v>
      </c>
      <c r="K9" s="40" t="s">
        <v>263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264</v>
      </c>
      <c r="E13" s="22"/>
      <c r="F13" s="22"/>
      <c r="G13" s="22"/>
      <c r="H13" s="22"/>
      <c r="I13" s="22" t="s">
        <v>265</v>
      </c>
      <c r="J13" s="42" t="s">
        <v>266</v>
      </c>
      <c r="K13" s="43"/>
      <c r="L13" s="43" t="s">
        <v>29</v>
      </c>
      <c r="M13" s="43"/>
      <c r="N13" s="43"/>
      <c r="O13" s="44" t="s">
        <v>267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1.25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268</v>
      </c>
      <c r="K14" s="43" t="s">
        <v>29</v>
      </c>
      <c r="L14" s="43"/>
      <c r="M14" s="43"/>
      <c r="N14" s="43"/>
      <c r="O14" s="44" t="s">
        <v>269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 t="s">
        <v>270</v>
      </c>
      <c r="K15" s="43"/>
      <c r="L15" s="43"/>
      <c r="M15" s="43" t="s">
        <v>29</v>
      </c>
      <c r="N15" s="43"/>
      <c r="O15" s="44" t="s">
        <v>271</v>
      </c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 t="s">
        <v>272</v>
      </c>
      <c r="K16" s="43" t="s">
        <v>29</v>
      </c>
      <c r="L16" s="43"/>
      <c r="M16" s="43"/>
      <c r="N16" s="43"/>
      <c r="O16" s="44" t="s">
        <v>273</v>
      </c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 t="s">
        <v>274</v>
      </c>
      <c r="K17" s="43"/>
      <c r="L17" s="43"/>
      <c r="M17" s="43" t="s">
        <v>29</v>
      </c>
      <c r="N17" s="43"/>
      <c r="O17" s="44" t="s">
        <v>275</v>
      </c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9" customHeight="1" spans="2:30">
      <c r="B18" s="22"/>
      <c r="C18" s="22"/>
      <c r="D18" s="22"/>
      <c r="E18" s="22"/>
      <c r="F18" s="22"/>
      <c r="G18" s="22"/>
      <c r="H18" s="22"/>
      <c r="I18" s="22"/>
      <c r="J18" s="42" t="s">
        <v>276</v>
      </c>
      <c r="K18" s="43"/>
      <c r="L18" s="43"/>
      <c r="M18" s="43" t="s">
        <v>29</v>
      </c>
      <c r="N18" s="43"/>
      <c r="O18" s="44" t="s">
        <v>275</v>
      </c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/>
      <c r="K19" s="43"/>
      <c r="L19" s="43"/>
      <c r="M19" s="43"/>
      <c r="N19" s="43"/>
      <c r="O19" s="44"/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/>
      <c r="K20" s="43"/>
      <c r="L20" s="43"/>
      <c r="M20" s="43"/>
      <c r="N20" s="43"/>
      <c r="O20" s="46"/>
      <c r="P20" s="46"/>
      <c r="Q20" s="46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/>
      <c r="K21" s="43"/>
      <c r="L21" s="43"/>
      <c r="M21" s="43"/>
      <c r="N21" s="43"/>
      <c r="O21" s="44"/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/>
      <c r="K22" s="43"/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/>
      <c r="K23" s="43"/>
      <c r="L23" s="43"/>
      <c r="M23" s="43"/>
      <c r="N23" s="43"/>
      <c r="O23" s="44"/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/>
      <c r="S25" s="14"/>
      <c r="T25" s="62"/>
    </row>
    <row r="26" ht="6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72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2</v>
      </c>
      <c r="L31" s="23">
        <f t="shared" si="0"/>
        <v>1</v>
      </c>
      <c r="M31" s="23">
        <f t="shared" si="0"/>
        <v>3</v>
      </c>
      <c r="N31" s="23">
        <f t="shared" si="0"/>
        <v>0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6" t="s">
        <v>182</v>
      </c>
      <c r="P32" s="46"/>
      <c r="Q32" s="46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P33" s="2" t="s">
        <v>183</v>
      </c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46" t="s">
        <v>184</v>
      </c>
      <c r="P34" s="46"/>
      <c r="Q34" s="46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46" t="s">
        <v>185</v>
      </c>
      <c r="P35" s="46"/>
      <c r="Q35" s="46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46" t="s">
        <v>186</v>
      </c>
      <c r="P36" s="46"/>
      <c r="Q36" s="46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2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2:Q32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72"/>
  <sheetViews>
    <sheetView showGridLines="0" topLeftCell="C5" workbookViewId="0">
      <selection activeCell="I13" sqref="I13:I15"/>
    </sheetView>
  </sheetViews>
  <sheetFormatPr defaultColWidth="11.4259259259259" defaultRowHeight="13.8"/>
  <cols>
    <col min="1" max="1" width="7.85185185185185" style="2" customWidth="1"/>
    <col min="2" max="2" width="7.57407407407407" style="2" customWidth="1"/>
    <col min="3" max="3" width="10.1388888888889" style="3" customWidth="1"/>
    <col min="4" max="4" width="9.71296296296296" style="2" customWidth="1"/>
    <col min="5" max="5" width="9.85185185185185" style="2" customWidth="1"/>
    <col min="6" max="6" width="5" style="2" customWidth="1"/>
    <col min="7" max="7" width="5.42592592592593" style="2" customWidth="1"/>
    <col min="8" max="8" width="16" style="2" customWidth="1"/>
    <col min="9" max="9" width="35.1388888888889" style="2" customWidth="1"/>
    <col min="10" max="10" width="33.5740740740741" style="2" customWidth="1"/>
    <col min="11" max="13" width="4.57407407407407" style="4" customWidth="1"/>
    <col min="14" max="14" width="4.57407407407407" style="2" customWidth="1"/>
    <col min="15" max="15" width="10.4259259259259" style="2" customWidth="1"/>
    <col min="16" max="16" width="18.4259259259259" style="2" customWidth="1"/>
    <col min="17" max="17" width="32.4259259259259" style="2" customWidth="1"/>
    <col min="18" max="18" width="2.85185185185185" style="2" hidden="1" customWidth="1"/>
    <col min="19" max="19" width="5.42592592592593" style="2" customWidth="1"/>
    <col min="20" max="259" width="11.4259259259259" style="2"/>
    <col min="260" max="260" width="1.57407407407407" style="2" customWidth="1"/>
    <col min="261" max="261" width="7" style="2" customWidth="1"/>
    <col min="262" max="262" width="13.5740740740741" style="2" customWidth="1"/>
    <col min="263" max="263" width="16.5740740740741" style="2" customWidth="1"/>
    <col min="264" max="264" width="5" style="2" customWidth="1"/>
    <col min="265" max="265" width="5.42592592592593" style="2" customWidth="1"/>
    <col min="266" max="266" width="5.13888888888889" style="2" customWidth="1"/>
    <col min="267" max="267" width="30.4259259259259" style="2" customWidth="1"/>
    <col min="268" max="270" width="5.85185185185185" style="2" customWidth="1"/>
    <col min="271" max="271" width="6.57407407407407" style="2" customWidth="1"/>
    <col min="272" max="272" width="10.4259259259259" style="2" customWidth="1"/>
    <col min="273" max="273" width="22.8518518518519" style="2" customWidth="1"/>
    <col min="274" max="274" width="2.42592592592593" style="2" customWidth="1"/>
    <col min="275" max="515" width="11.4259259259259" style="2"/>
    <col min="516" max="516" width="1.57407407407407" style="2" customWidth="1"/>
    <col min="517" max="517" width="7" style="2" customWidth="1"/>
    <col min="518" max="518" width="13.5740740740741" style="2" customWidth="1"/>
    <col min="519" max="519" width="16.5740740740741" style="2" customWidth="1"/>
    <col min="520" max="520" width="5" style="2" customWidth="1"/>
    <col min="521" max="521" width="5.42592592592593" style="2" customWidth="1"/>
    <col min="522" max="522" width="5.13888888888889" style="2" customWidth="1"/>
    <col min="523" max="523" width="30.4259259259259" style="2" customWidth="1"/>
    <col min="524" max="526" width="5.85185185185185" style="2" customWidth="1"/>
    <col min="527" max="527" width="6.57407407407407" style="2" customWidth="1"/>
    <col min="528" max="528" width="10.4259259259259" style="2" customWidth="1"/>
    <col min="529" max="529" width="22.8518518518519" style="2" customWidth="1"/>
    <col min="530" max="530" width="2.42592592592593" style="2" customWidth="1"/>
    <col min="531" max="771" width="11.4259259259259" style="2"/>
    <col min="772" max="772" width="1.57407407407407" style="2" customWidth="1"/>
    <col min="773" max="773" width="7" style="2" customWidth="1"/>
    <col min="774" max="774" width="13.5740740740741" style="2" customWidth="1"/>
    <col min="775" max="775" width="16.5740740740741" style="2" customWidth="1"/>
    <col min="776" max="776" width="5" style="2" customWidth="1"/>
    <col min="777" max="777" width="5.42592592592593" style="2" customWidth="1"/>
    <col min="778" max="778" width="5.13888888888889" style="2" customWidth="1"/>
    <col min="779" max="779" width="30.4259259259259" style="2" customWidth="1"/>
    <col min="780" max="782" width="5.85185185185185" style="2" customWidth="1"/>
    <col min="783" max="783" width="6.57407407407407" style="2" customWidth="1"/>
    <col min="784" max="784" width="10.4259259259259" style="2" customWidth="1"/>
    <col min="785" max="785" width="22.8518518518519" style="2" customWidth="1"/>
    <col min="786" max="786" width="2.42592592592593" style="2" customWidth="1"/>
    <col min="787" max="1027" width="11.4259259259259" style="2"/>
    <col min="1028" max="1028" width="1.57407407407407" style="2" customWidth="1"/>
    <col min="1029" max="1029" width="7" style="2" customWidth="1"/>
    <col min="1030" max="1030" width="13.5740740740741" style="2" customWidth="1"/>
    <col min="1031" max="1031" width="16.5740740740741" style="2" customWidth="1"/>
    <col min="1032" max="1032" width="5" style="2" customWidth="1"/>
    <col min="1033" max="1033" width="5.42592592592593" style="2" customWidth="1"/>
    <col min="1034" max="1034" width="5.13888888888889" style="2" customWidth="1"/>
    <col min="1035" max="1035" width="30.4259259259259" style="2" customWidth="1"/>
    <col min="1036" max="1038" width="5.85185185185185" style="2" customWidth="1"/>
    <col min="1039" max="1039" width="6.57407407407407" style="2" customWidth="1"/>
    <col min="1040" max="1040" width="10.4259259259259" style="2" customWidth="1"/>
    <col min="1041" max="1041" width="22.8518518518519" style="2" customWidth="1"/>
    <col min="1042" max="1042" width="2.42592592592593" style="2" customWidth="1"/>
    <col min="1043" max="1283" width="11.4259259259259" style="2"/>
    <col min="1284" max="1284" width="1.57407407407407" style="2" customWidth="1"/>
    <col min="1285" max="1285" width="7" style="2" customWidth="1"/>
    <col min="1286" max="1286" width="13.5740740740741" style="2" customWidth="1"/>
    <col min="1287" max="1287" width="16.5740740740741" style="2" customWidth="1"/>
    <col min="1288" max="1288" width="5" style="2" customWidth="1"/>
    <col min="1289" max="1289" width="5.42592592592593" style="2" customWidth="1"/>
    <col min="1290" max="1290" width="5.13888888888889" style="2" customWidth="1"/>
    <col min="1291" max="1291" width="30.4259259259259" style="2" customWidth="1"/>
    <col min="1292" max="1294" width="5.85185185185185" style="2" customWidth="1"/>
    <col min="1295" max="1295" width="6.57407407407407" style="2" customWidth="1"/>
    <col min="1296" max="1296" width="10.4259259259259" style="2" customWidth="1"/>
    <col min="1297" max="1297" width="22.8518518518519" style="2" customWidth="1"/>
    <col min="1298" max="1298" width="2.42592592592593" style="2" customWidth="1"/>
    <col min="1299" max="1539" width="11.4259259259259" style="2"/>
    <col min="1540" max="1540" width="1.57407407407407" style="2" customWidth="1"/>
    <col min="1541" max="1541" width="7" style="2" customWidth="1"/>
    <col min="1542" max="1542" width="13.5740740740741" style="2" customWidth="1"/>
    <col min="1543" max="1543" width="16.5740740740741" style="2" customWidth="1"/>
    <col min="1544" max="1544" width="5" style="2" customWidth="1"/>
    <col min="1545" max="1545" width="5.42592592592593" style="2" customWidth="1"/>
    <col min="1546" max="1546" width="5.13888888888889" style="2" customWidth="1"/>
    <col min="1547" max="1547" width="30.4259259259259" style="2" customWidth="1"/>
    <col min="1548" max="1550" width="5.85185185185185" style="2" customWidth="1"/>
    <col min="1551" max="1551" width="6.57407407407407" style="2" customWidth="1"/>
    <col min="1552" max="1552" width="10.4259259259259" style="2" customWidth="1"/>
    <col min="1553" max="1553" width="22.8518518518519" style="2" customWidth="1"/>
    <col min="1554" max="1554" width="2.42592592592593" style="2" customWidth="1"/>
    <col min="1555" max="1795" width="11.4259259259259" style="2"/>
    <col min="1796" max="1796" width="1.57407407407407" style="2" customWidth="1"/>
    <col min="1797" max="1797" width="7" style="2" customWidth="1"/>
    <col min="1798" max="1798" width="13.5740740740741" style="2" customWidth="1"/>
    <col min="1799" max="1799" width="16.5740740740741" style="2" customWidth="1"/>
    <col min="1800" max="1800" width="5" style="2" customWidth="1"/>
    <col min="1801" max="1801" width="5.42592592592593" style="2" customWidth="1"/>
    <col min="1802" max="1802" width="5.13888888888889" style="2" customWidth="1"/>
    <col min="1803" max="1803" width="30.4259259259259" style="2" customWidth="1"/>
    <col min="1804" max="1806" width="5.85185185185185" style="2" customWidth="1"/>
    <col min="1807" max="1807" width="6.57407407407407" style="2" customWidth="1"/>
    <col min="1808" max="1808" width="10.4259259259259" style="2" customWidth="1"/>
    <col min="1809" max="1809" width="22.8518518518519" style="2" customWidth="1"/>
    <col min="1810" max="1810" width="2.42592592592593" style="2" customWidth="1"/>
    <col min="1811" max="2051" width="11.4259259259259" style="2"/>
    <col min="2052" max="2052" width="1.57407407407407" style="2" customWidth="1"/>
    <col min="2053" max="2053" width="7" style="2" customWidth="1"/>
    <col min="2054" max="2054" width="13.5740740740741" style="2" customWidth="1"/>
    <col min="2055" max="2055" width="16.5740740740741" style="2" customWidth="1"/>
    <col min="2056" max="2056" width="5" style="2" customWidth="1"/>
    <col min="2057" max="2057" width="5.42592592592593" style="2" customWidth="1"/>
    <col min="2058" max="2058" width="5.13888888888889" style="2" customWidth="1"/>
    <col min="2059" max="2059" width="30.4259259259259" style="2" customWidth="1"/>
    <col min="2060" max="2062" width="5.85185185185185" style="2" customWidth="1"/>
    <col min="2063" max="2063" width="6.57407407407407" style="2" customWidth="1"/>
    <col min="2064" max="2064" width="10.4259259259259" style="2" customWidth="1"/>
    <col min="2065" max="2065" width="22.8518518518519" style="2" customWidth="1"/>
    <col min="2066" max="2066" width="2.42592592592593" style="2" customWidth="1"/>
    <col min="2067" max="2307" width="11.4259259259259" style="2"/>
    <col min="2308" max="2308" width="1.57407407407407" style="2" customWidth="1"/>
    <col min="2309" max="2309" width="7" style="2" customWidth="1"/>
    <col min="2310" max="2310" width="13.5740740740741" style="2" customWidth="1"/>
    <col min="2311" max="2311" width="16.5740740740741" style="2" customWidth="1"/>
    <col min="2312" max="2312" width="5" style="2" customWidth="1"/>
    <col min="2313" max="2313" width="5.42592592592593" style="2" customWidth="1"/>
    <col min="2314" max="2314" width="5.13888888888889" style="2" customWidth="1"/>
    <col min="2315" max="2315" width="30.4259259259259" style="2" customWidth="1"/>
    <col min="2316" max="2318" width="5.85185185185185" style="2" customWidth="1"/>
    <col min="2319" max="2319" width="6.57407407407407" style="2" customWidth="1"/>
    <col min="2320" max="2320" width="10.4259259259259" style="2" customWidth="1"/>
    <col min="2321" max="2321" width="22.8518518518519" style="2" customWidth="1"/>
    <col min="2322" max="2322" width="2.42592592592593" style="2" customWidth="1"/>
    <col min="2323" max="2563" width="11.4259259259259" style="2"/>
    <col min="2564" max="2564" width="1.57407407407407" style="2" customWidth="1"/>
    <col min="2565" max="2565" width="7" style="2" customWidth="1"/>
    <col min="2566" max="2566" width="13.5740740740741" style="2" customWidth="1"/>
    <col min="2567" max="2567" width="16.5740740740741" style="2" customWidth="1"/>
    <col min="2568" max="2568" width="5" style="2" customWidth="1"/>
    <col min="2569" max="2569" width="5.42592592592593" style="2" customWidth="1"/>
    <col min="2570" max="2570" width="5.13888888888889" style="2" customWidth="1"/>
    <col min="2571" max="2571" width="30.4259259259259" style="2" customWidth="1"/>
    <col min="2572" max="2574" width="5.85185185185185" style="2" customWidth="1"/>
    <col min="2575" max="2575" width="6.57407407407407" style="2" customWidth="1"/>
    <col min="2576" max="2576" width="10.4259259259259" style="2" customWidth="1"/>
    <col min="2577" max="2577" width="22.8518518518519" style="2" customWidth="1"/>
    <col min="2578" max="2578" width="2.42592592592593" style="2" customWidth="1"/>
    <col min="2579" max="2819" width="11.4259259259259" style="2"/>
    <col min="2820" max="2820" width="1.57407407407407" style="2" customWidth="1"/>
    <col min="2821" max="2821" width="7" style="2" customWidth="1"/>
    <col min="2822" max="2822" width="13.5740740740741" style="2" customWidth="1"/>
    <col min="2823" max="2823" width="16.5740740740741" style="2" customWidth="1"/>
    <col min="2824" max="2824" width="5" style="2" customWidth="1"/>
    <col min="2825" max="2825" width="5.42592592592593" style="2" customWidth="1"/>
    <col min="2826" max="2826" width="5.13888888888889" style="2" customWidth="1"/>
    <col min="2827" max="2827" width="30.4259259259259" style="2" customWidth="1"/>
    <col min="2828" max="2830" width="5.85185185185185" style="2" customWidth="1"/>
    <col min="2831" max="2831" width="6.57407407407407" style="2" customWidth="1"/>
    <col min="2832" max="2832" width="10.4259259259259" style="2" customWidth="1"/>
    <col min="2833" max="2833" width="22.8518518518519" style="2" customWidth="1"/>
    <col min="2834" max="2834" width="2.42592592592593" style="2" customWidth="1"/>
    <col min="2835" max="3075" width="11.4259259259259" style="2"/>
    <col min="3076" max="3076" width="1.57407407407407" style="2" customWidth="1"/>
    <col min="3077" max="3077" width="7" style="2" customWidth="1"/>
    <col min="3078" max="3078" width="13.5740740740741" style="2" customWidth="1"/>
    <col min="3079" max="3079" width="16.5740740740741" style="2" customWidth="1"/>
    <col min="3080" max="3080" width="5" style="2" customWidth="1"/>
    <col min="3081" max="3081" width="5.42592592592593" style="2" customWidth="1"/>
    <col min="3082" max="3082" width="5.13888888888889" style="2" customWidth="1"/>
    <col min="3083" max="3083" width="30.4259259259259" style="2" customWidth="1"/>
    <col min="3084" max="3086" width="5.85185185185185" style="2" customWidth="1"/>
    <col min="3087" max="3087" width="6.57407407407407" style="2" customWidth="1"/>
    <col min="3088" max="3088" width="10.4259259259259" style="2" customWidth="1"/>
    <col min="3089" max="3089" width="22.8518518518519" style="2" customWidth="1"/>
    <col min="3090" max="3090" width="2.42592592592593" style="2" customWidth="1"/>
    <col min="3091" max="3331" width="11.4259259259259" style="2"/>
    <col min="3332" max="3332" width="1.57407407407407" style="2" customWidth="1"/>
    <col min="3333" max="3333" width="7" style="2" customWidth="1"/>
    <col min="3334" max="3334" width="13.5740740740741" style="2" customWidth="1"/>
    <col min="3335" max="3335" width="16.5740740740741" style="2" customWidth="1"/>
    <col min="3336" max="3336" width="5" style="2" customWidth="1"/>
    <col min="3337" max="3337" width="5.42592592592593" style="2" customWidth="1"/>
    <col min="3338" max="3338" width="5.13888888888889" style="2" customWidth="1"/>
    <col min="3339" max="3339" width="30.4259259259259" style="2" customWidth="1"/>
    <col min="3340" max="3342" width="5.85185185185185" style="2" customWidth="1"/>
    <col min="3343" max="3343" width="6.57407407407407" style="2" customWidth="1"/>
    <col min="3344" max="3344" width="10.4259259259259" style="2" customWidth="1"/>
    <col min="3345" max="3345" width="22.8518518518519" style="2" customWidth="1"/>
    <col min="3346" max="3346" width="2.42592592592593" style="2" customWidth="1"/>
    <col min="3347" max="3587" width="11.4259259259259" style="2"/>
    <col min="3588" max="3588" width="1.57407407407407" style="2" customWidth="1"/>
    <col min="3589" max="3589" width="7" style="2" customWidth="1"/>
    <col min="3590" max="3590" width="13.5740740740741" style="2" customWidth="1"/>
    <col min="3591" max="3591" width="16.5740740740741" style="2" customWidth="1"/>
    <col min="3592" max="3592" width="5" style="2" customWidth="1"/>
    <col min="3593" max="3593" width="5.42592592592593" style="2" customWidth="1"/>
    <col min="3594" max="3594" width="5.13888888888889" style="2" customWidth="1"/>
    <col min="3595" max="3595" width="30.4259259259259" style="2" customWidth="1"/>
    <col min="3596" max="3598" width="5.85185185185185" style="2" customWidth="1"/>
    <col min="3599" max="3599" width="6.57407407407407" style="2" customWidth="1"/>
    <col min="3600" max="3600" width="10.4259259259259" style="2" customWidth="1"/>
    <col min="3601" max="3601" width="22.8518518518519" style="2" customWidth="1"/>
    <col min="3602" max="3602" width="2.42592592592593" style="2" customWidth="1"/>
    <col min="3603" max="3843" width="11.4259259259259" style="2"/>
    <col min="3844" max="3844" width="1.57407407407407" style="2" customWidth="1"/>
    <col min="3845" max="3845" width="7" style="2" customWidth="1"/>
    <col min="3846" max="3846" width="13.5740740740741" style="2" customWidth="1"/>
    <col min="3847" max="3847" width="16.5740740740741" style="2" customWidth="1"/>
    <col min="3848" max="3848" width="5" style="2" customWidth="1"/>
    <col min="3849" max="3849" width="5.42592592592593" style="2" customWidth="1"/>
    <col min="3850" max="3850" width="5.13888888888889" style="2" customWidth="1"/>
    <col min="3851" max="3851" width="30.4259259259259" style="2" customWidth="1"/>
    <col min="3852" max="3854" width="5.85185185185185" style="2" customWidth="1"/>
    <col min="3855" max="3855" width="6.57407407407407" style="2" customWidth="1"/>
    <col min="3856" max="3856" width="10.4259259259259" style="2" customWidth="1"/>
    <col min="3857" max="3857" width="22.8518518518519" style="2" customWidth="1"/>
    <col min="3858" max="3858" width="2.42592592592593" style="2" customWidth="1"/>
    <col min="3859" max="4099" width="11.4259259259259" style="2"/>
    <col min="4100" max="4100" width="1.57407407407407" style="2" customWidth="1"/>
    <col min="4101" max="4101" width="7" style="2" customWidth="1"/>
    <col min="4102" max="4102" width="13.5740740740741" style="2" customWidth="1"/>
    <col min="4103" max="4103" width="16.5740740740741" style="2" customWidth="1"/>
    <col min="4104" max="4104" width="5" style="2" customWidth="1"/>
    <col min="4105" max="4105" width="5.42592592592593" style="2" customWidth="1"/>
    <col min="4106" max="4106" width="5.13888888888889" style="2" customWidth="1"/>
    <col min="4107" max="4107" width="30.4259259259259" style="2" customWidth="1"/>
    <col min="4108" max="4110" width="5.85185185185185" style="2" customWidth="1"/>
    <col min="4111" max="4111" width="6.57407407407407" style="2" customWidth="1"/>
    <col min="4112" max="4112" width="10.4259259259259" style="2" customWidth="1"/>
    <col min="4113" max="4113" width="22.8518518518519" style="2" customWidth="1"/>
    <col min="4114" max="4114" width="2.42592592592593" style="2" customWidth="1"/>
    <col min="4115" max="4355" width="11.4259259259259" style="2"/>
    <col min="4356" max="4356" width="1.57407407407407" style="2" customWidth="1"/>
    <col min="4357" max="4357" width="7" style="2" customWidth="1"/>
    <col min="4358" max="4358" width="13.5740740740741" style="2" customWidth="1"/>
    <col min="4359" max="4359" width="16.5740740740741" style="2" customWidth="1"/>
    <col min="4360" max="4360" width="5" style="2" customWidth="1"/>
    <col min="4361" max="4361" width="5.42592592592593" style="2" customWidth="1"/>
    <col min="4362" max="4362" width="5.13888888888889" style="2" customWidth="1"/>
    <col min="4363" max="4363" width="30.4259259259259" style="2" customWidth="1"/>
    <col min="4364" max="4366" width="5.85185185185185" style="2" customWidth="1"/>
    <col min="4367" max="4367" width="6.57407407407407" style="2" customWidth="1"/>
    <col min="4368" max="4368" width="10.4259259259259" style="2" customWidth="1"/>
    <col min="4369" max="4369" width="22.8518518518519" style="2" customWidth="1"/>
    <col min="4370" max="4370" width="2.42592592592593" style="2" customWidth="1"/>
    <col min="4371" max="4611" width="11.4259259259259" style="2"/>
    <col min="4612" max="4612" width="1.57407407407407" style="2" customWidth="1"/>
    <col min="4613" max="4613" width="7" style="2" customWidth="1"/>
    <col min="4614" max="4614" width="13.5740740740741" style="2" customWidth="1"/>
    <col min="4615" max="4615" width="16.5740740740741" style="2" customWidth="1"/>
    <col min="4616" max="4616" width="5" style="2" customWidth="1"/>
    <col min="4617" max="4617" width="5.42592592592593" style="2" customWidth="1"/>
    <col min="4618" max="4618" width="5.13888888888889" style="2" customWidth="1"/>
    <col min="4619" max="4619" width="30.4259259259259" style="2" customWidth="1"/>
    <col min="4620" max="4622" width="5.85185185185185" style="2" customWidth="1"/>
    <col min="4623" max="4623" width="6.57407407407407" style="2" customWidth="1"/>
    <col min="4624" max="4624" width="10.4259259259259" style="2" customWidth="1"/>
    <col min="4625" max="4625" width="22.8518518518519" style="2" customWidth="1"/>
    <col min="4626" max="4626" width="2.42592592592593" style="2" customWidth="1"/>
    <col min="4627" max="4867" width="11.4259259259259" style="2"/>
    <col min="4868" max="4868" width="1.57407407407407" style="2" customWidth="1"/>
    <col min="4869" max="4869" width="7" style="2" customWidth="1"/>
    <col min="4870" max="4870" width="13.5740740740741" style="2" customWidth="1"/>
    <col min="4871" max="4871" width="16.5740740740741" style="2" customWidth="1"/>
    <col min="4872" max="4872" width="5" style="2" customWidth="1"/>
    <col min="4873" max="4873" width="5.42592592592593" style="2" customWidth="1"/>
    <col min="4874" max="4874" width="5.13888888888889" style="2" customWidth="1"/>
    <col min="4875" max="4875" width="30.4259259259259" style="2" customWidth="1"/>
    <col min="4876" max="4878" width="5.85185185185185" style="2" customWidth="1"/>
    <col min="4879" max="4879" width="6.57407407407407" style="2" customWidth="1"/>
    <col min="4880" max="4880" width="10.4259259259259" style="2" customWidth="1"/>
    <col min="4881" max="4881" width="22.8518518518519" style="2" customWidth="1"/>
    <col min="4882" max="4882" width="2.42592592592593" style="2" customWidth="1"/>
    <col min="4883" max="5123" width="11.4259259259259" style="2"/>
    <col min="5124" max="5124" width="1.57407407407407" style="2" customWidth="1"/>
    <col min="5125" max="5125" width="7" style="2" customWidth="1"/>
    <col min="5126" max="5126" width="13.5740740740741" style="2" customWidth="1"/>
    <col min="5127" max="5127" width="16.5740740740741" style="2" customWidth="1"/>
    <col min="5128" max="5128" width="5" style="2" customWidth="1"/>
    <col min="5129" max="5129" width="5.42592592592593" style="2" customWidth="1"/>
    <col min="5130" max="5130" width="5.13888888888889" style="2" customWidth="1"/>
    <col min="5131" max="5131" width="30.4259259259259" style="2" customWidth="1"/>
    <col min="5132" max="5134" width="5.85185185185185" style="2" customWidth="1"/>
    <col min="5135" max="5135" width="6.57407407407407" style="2" customWidth="1"/>
    <col min="5136" max="5136" width="10.4259259259259" style="2" customWidth="1"/>
    <col min="5137" max="5137" width="22.8518518518519" style="2" customWidth="1"/>
    <col min="5138" max="5138" width="2.42592592592593" style="2" customWidth="1"/>
    <col min="5139" max="5379" width="11.4259259259259" style="2"/>
    <col min="5380" max="5380" width="1.57407407407407" style="2" customWidth="1"/>
    <col min="5381" max="5381" width="7" style="2" customWidth="1"/>
    <col min="5382" max="5382" width="13.5740740740741" style="2" customWidth="1"/>
    <col min="5383" max="5383" width="16.5740740740741" style="2" customWidth="1"/>
    <col min="5384" max="5384" width="5" style="2" customWidth="1"/>
    <col min="5385" max="5385" width="5.42592592592593" style="2" customWidth="1"/>
    <col min="5386" max="5386" width="5.13888888888889" style="2" customWidth="1"/>
    <col min="5387" max="5387" width="30.4259259259259" style="2" customWidth="1"/>
    <col min="5388" max="5390" width="5.85185185185185" style="2" customWidth="1"/>
    <col min="5391" max="5391" width="6.57407407407407" style="2" customWidth="1"/>
    <col min="5392" max="5392" width="10.4259259259259" style="2" customWidth="1"/>
    <col min="5393" max="5393" width="22.8518518518519" style="2" customWidth="1"/>
    <col min="5394" max="5394" width="2.42592592592593" style="2" customWidth="1"/>
    <col min="5395" max="5635" width="11.4259259259259" style="2"/>
    <col min="5636" max="5636" width="1.57407407407407" style="2" customWidth="1"/>
    <col min="5637" max="5637" width="7" style="2" customWidth="1"/>
    <col min="5638" max="5638" width="13.5740740740741" style="2" customWidth="1"/>
    <col min="5639" max="5639" width="16.5740740740741" style="2" customWidth="1"/>
    <col min="5640" max="5640" width="5" style="2" customWidth="1"/>
    <col min="5641" max="5641" width="5.42592592592593" style="2" customWidth="1"/>
    <col min="5642" max="5642" width="5.13888888888889" style="2" customWidth="1"/>
    <col min="5643" max="5643" width="30.4259259259259" style="2" customWidth="1"/>
    <col min="5644" max="5646" width="5.85185185185185" style="2" customWidth="1"/>
    <col min="5647" max="5647" width="6.57407407407407" style="2" customWidth="1"/>
    <col min="5648" max="5648" width="10.4259259259259" style="2" customWidth="1"/>
    <col min="5649" max="5649" width="22.8518518518519" style="2" customWidth="1"/>
    <col min="5650" max="5650" width="2.42592592592593" style="2" customWidth="1"/>
    <col min="5651" max="5891" width="11.4259259259259" style="2"/>
    <col min="5892" max="5892" width="1.57407407407407" style="2" customWidth="1"/>
    <col min="5893" max="5893" width="7" style="2" customWidth="1"/>
    <col min="5894" max="5894" width="13.5740740740741" style="2" customWidth="1"/>
    <col min="5895" max="5895" width="16.5740740740741" style="2" customWidth="1"/>
    <col min="5896" max="5896" width="5" style="2" customWidth="1"/>
    <col min="5897" max="5897" width="5.42592592592593" style="2" customWidth="1"/>
    <col min="5898" max="5898" width="5.13888888888889" style="2" customWidth="1"/>
    <col min="5899" max="5899" width="30.4259259259259" style="2" customWidth="1"/>
    <col min="5900" max="5902" width="5.85185185185185" style="2" customWidth="1"/>
    <col min="5903" max="5903" width="6.57407407407407" style="2" customWidth="1"/>
    <col min="5904" max="5904" width="10.4259259259259" style="2" customWidth="1"/>
    <col min="5905" max="5905" width="22.8518518518519" style="2" customWidth="1"/>
    <col min="5906" max="5906" width="2.42592592592593" style="2" customWidth="1"/>
    <col min="5907" max="6147" width="11.4259259259259" style="2"/>
    <col min="6148" max="6148" width="1.57407407407407" style="2" customWidth="1"/>
    <col min="6149" max="6149" width="7" style="2" customWidth="1"/>
    <col min="6150" max="6150" width="13.5740740740741" style="2" customWidth="1"/>
    <col min="6151" max="6151" width="16.5740740740741" style="2" customWidth="1"/>
    <col min="6152" max="6152" width="5" style="2" customWidth="1"/>
    <col min="6153" max="6153" width="5.42592592592593" style="2" customWidth="1"/>
    <col min="6154" max="6154" width="5.13888888888889" style="2" customWidth="1"/>
    <col min="6155" max="6155" width="30.4259259259259" style="2" customWidth="1"/>
    <col min="6156" max="6158" width="5.85185185185185" style="2" customWidth="1"/>
    <col min="6159" max="6159" width="6.57407407407407" style="2" customWidth="1"/>
    <col min="6160" max="6160" width="10.4259259259259" style="2" customWidth="1"/>
    <col min="6161" max="6161" width="22.8518518518519" style="2" customWidth="1"/>
    <col min="6162" max="6162" width="2.42592592592593" style="2" customWidth="1"/>
    <col min="6163" max="6403" width="11.4259259259259" style="2"/>
    <col min="6404" max="6404" width="1.57407407407407" style="2" customWidth="1"/>
    <col min="6405" max="6405" width="7" style="2" customWidth="1"/>
    <col min="6406" max="6406" width="13.5740740740741" style="2" customWidth="1"/>
    <col min="6407" max="6407" width="16.5740740740741" style="2" customWidth="1"/>
    <col min="6408" max="6408" width="5" style="2" customWidth="1"/>
    <col min="6409" max="6409" width="5.42592592592593" style="2" customWidth="1"/>
    <col min="6410" max="6410" width="5.13888888888889" style="2" customWidth="1"/>
    <col min="6411" max="6411" width="30.4259259259259" style="2" customWidth="1"/>
    <col min="6412" max="6414" width="5.85185185185185" style="2" customWidth="1"/>
    <col min="6415" max="6415" width="6.57407407407407" style="2" customWidth="1"/>
    <col min="6416" max="6416" width="10.4259259259259" style="2" customWidth="1"/>
    <col min="6417" max="6417" width="22.8518518518519" style="2" customWidth="1"/>
    <col min="6418" max="6418" width="2.42592592592593" style="2" customWidth="1"/>
    <col min="6419" max="6659" width="11.4259259259259" style="2"/>
    <col min="6660" max="6660" width="1.57407407407407" style="2" customWidth="1"/>
    <col min="6661" max="6661" width="7" style="2" customWidth="1"/>
    <col min="6662" max="6662" width="13.5740740740741" style="2" customWidth="1"/>
    <col min="6663" max="6663" width="16.5740740740741" style="2" customWidth="1"/>
    <col min="6664" max="6664" width="5" style="2" customWidth="1"/>
    <col min="6665" max="6665" width="5.42592592592593" style="2" customWidth="1"/>
    <col min="6666" max="6666" width="5.13888888888889" style="2" customWidth="1"/>
    <col min="6667" max="6667" width="30.4259259259259" style="2" customWidth="1"/>
    <col min="6668" max="6670" width="5.85185185185185" style="2" customWidth="1"/>
    <col min="6671" max="6671" width="6.57407407407407" style="2" customWidth="1"/>
    <col min="6672" max="6672" width="10.4259259259259" style="2" customWidth="1"/>
    <col min="6673" max="6673" width="22.8518518518519" style="2" customWidth="1"/>
    <col min="6674" max="6674" width="2.42592592592593" style="2" customWidth="1"/>
    <col min="6675" max="6915" width="11.4259259259259" style="2"/>
    <col min="6916" max="6916" width="1.57407407407407" style="2" customWidth="1"/>
    <col min="6917" max="6917" width="7" style="2" customWidth="1"/>
    <col min="6918" max="6918" width="13.5740740740741" style="2" customWidth="1"/>
    <col min="6919" max="6919" width="16.5740740740741" style="2" customWidth="1"/>
    <col min="6920" max="6920" width="5" style="2" customWidth="1"/>
    <col min="6921" max="6921" width="5.42592592592593" style="2" customWidth="1"/>
    <col min="6922" max="6922" width="5.13888888888889" style="2" customWidth="1"/>
    <col min="6923" max="6923" width="30.4259259259259" style="2" customWidth="1"/>
    <col min="6924" max="6926" width="5.85185185185185" style="2" customWidth="1"/>
    <col min="6927" max="6927" width="6.57407407407407" style="2" customWidth="1"/>
    <col min="6928" max="6928" width="10.4259259259259" style="2" customWidth="1"/>
    <col min="6929" max="6929" width="22.8518518518519" style="2" customWidth="1"/>
    <col min="6930" max="6930" width="2.42592592592593" style="2" customWidth="1"/>
    <col min="6931" max="7171" width="11.4259259259259" style="2"/>
    <col min="7172" max="7172" width="1.57407407407407" style="2" customWidth="1"/>
    <col min="7173" max="7173" width="7" style="2" customWidth="1"/>
    <col min="7174" max="7174" width="13.5740740740741" style="2" customWidth="1"/>
    <col min="7175" max="7175" width="16.5740740740741" style="2" customWidth="1"/>
    <col min="7176" max="7176" width="5" style="2" customWidth="1"/>
    <col min="7177" max="7177" width="5.42592592592593" style="2" customWidth="1"/>
    <col min="7178" max="7178" width="5.13888888888889" style="2" customWidth="1"/>
    <col min="7179" max="7179" width="30.4259259259259" style="2" customWidth="1"/>
    <col min="7180" max="7182" width="5.85185185185185" style="2" customWidth="1"/>
    <col min="7183" max="7183" width="6.57407407407407" style="2" customWidth="1"/>
    <col min="7184" max="7184" width="10.4259259259259" style="2" customWidth="1"/>
    <col min="7185" max="7185" width="22.8518518518519" style="2" customWidth="1"/>
    <col min="7186" max="7186" width="2.42592592592593" style="2" customWidth="1"/>
    <col min="7187" max="7427" width="11.4259259259259" style="2"/>
    <col min="7428" max="7428" width="1.57407407407407" style="2" customWidth="1"/>
    <col min="7429" max="7429" width="7" style="2" customWidth="1"/>
    <col min="7430" max="7430" width="13.5740740740741" style="2" customWidth="1"/>
    <col min="7431" max="7431" width="16.5740740740741" style="2" customWidth="1"/>
    <col min="7432" max="7432" width="5" style="2" customWidth="1"/>
    <col min="7433" max="7433" width="5.42592592592593" style="2" customWidth="1"/>
    <col min="7434" max="7434" width="5.13888888888889" style="2" customWidth="1"/>
    <col min="7435" max="7435" width="30.4259259259259" style="2" customWidth="1"/>
    <col min="7436" max="7438" width="5.85185185185185" style="2" customWidth="1"/>
    <col min="7439" max="7439" width="6.57407407407407" style="2" customWidth="1"/>
    <col min="7440" max="7440" width="10.4259259259259" style="2" customWidth="1"/>
    <col min="7441" max="7441" width="22.8518518518519" style="2" customWidth="1"/>
    <col min="7442" max="7442" width="2.42592592592593" style="2" customWidth="1"/>
    <col min="7443" max="7683" width="11.4259259259259" style="2"/>
    <col min="7684" max="7684" width="1.57407407407407" style="2" customWidth="1"/>
    <col min="7685" max="7685" width="7" style="2" customWidth="1"/>
    <col min="7686" max="7686" width="13.5740740740741" style="2" customWidth="1"/>
    <col min="7687" max="7687" width="16.5740740740741" style="2" customWidth="1"/>
    <col min="7688" max="7688" width="5" style="2" customWidth="1"/>
    <col min="7689" max="7689" width="5.42592592592593" style="2" customWidth="1"/>
    <col min="7690" max="7690" width="5.13888888888889" style="2" customWidth="1"/>
    <col min="7691" max="7691" width="30.4259259259259" style="2" customWidth="1"/>
    <col min="7692" max="7694" width="5.85185185185185" style="2" customWidth="1"/>
    <col min="7695" max="7695" width="6.57407407407407" style="2" customWidth="1"/>
    <col min="7696" max="7696" width="10.4259259259259" style="2" customWidth="1"/>
    <col min="7697" max="7697" width="22.8518518518519" style="2" customWidth="1"/>
    <col min="7698" max="7698" width="2.42592592592593" style="2" customWidth="1"/>
    <col min="7699" max="7939" width="11.4259259259259" style="2"/>
    <col min="7940" max="7940" width="1.57407407407407" style="2" customWidth="1"/>
    <col min="7941" max="7941" width="7" style="2" customWidth="1"/>
    <col min="7942" max="7942" width="13.5740740740741" style="2" customWidth="1"/>
    <col min="7943" max="7943" width="16.5740740740741" style="2" customWidth="1"/>
    <col min="7944" max="7944" width="5" style="2" customWidth="1"/>
    <col min="7945" max="7945" width="5.42592592592593" style="2" customWidth="1"/>
    <col min="7946" max="7946" width="5.13888888888889" style="2" customWidth="1"/>
    <col min="7947" max="7947" width="30.4259259259259" style="2" customWidth="1"/>
    <col min="7948" max="7950" width="5.85185185185185" style="2" customWidth="1"/>
    <col min="7951" max="7951" width="6.57407407407407" style="2" customWidth="1"/>
    <col min="7952" max="7952" width="10.4259259259259" style="2" customWidth="1"/>
    <col min="7953" max="7953" width="22.8518518518519" style="2" customWidth="1"/>
    <col min="7954" max="7954" width="2.42592592592593" style="2" customWidth="1"/>
    <col min="7955" max="8195" width="11.4259259259259" style="2"/>
    <col min="8196" max="8196" width="1.57407407407407" style="2" customWidth="1"/>
    <col min="8197" max="8197" width="7" style="2" customWidth="1"/>
    <col min="8198" max="8198" width="13.5740740740741" style="2" customWidth="1"/>
    <col min="8199" max="8199" width="16.5740740740741" style="2" customWidth="1"/>
    <col min="8200" max="8200" width="5" style="2" customWidth="1"/>
    <col min="8201" max="8201" width="5.42592592592593" style="2" customWidth="1"/>
    <col min="8202" max="8202" width="5.13888888888889" style="2" customWidth="1"/>
    <col min="8203" max="8203" width="30.4259259259259" style="2" customWidth="1"/>
    <col min="8204" max="8206" width="5.85185185185185" style="2" customWidth="1"/>
    <col min="8207" max="8207" width="6.57407407407407" style="2" customWidth="1"/>
    <col min="8208" max="8208" width="10.4259259259259" style="2" customWidth="1"/>
    <col min="8209" max="8209" width="22.8518518518519" style="2" customWidth="1"/>
    <col min="8210" max="8210" width="2.42592592592593" style="2" customWidth="1"/>
    <col min="8211" max="8451" width="11.4259259259259" style="2"/>
    <col min="8452" max="8452" width="1.57407407407407" style="2" customWidth="1"/>
    <col min="8453" max="8453" width="7" style="2" customWidth="1"/>
    <col min="8454" max="8454" width="13.5740740740741" style="2" customWidth="1"/>
    <col min="8455" max="8455" width="16.5740740740741" style="2" customWidth="1"/>
    <col min="8456" max="8456" width="5" style="2" customWidth="1"/>
    <col min="8457" max="8457" width="5.42592592592593" style="2" customWidth="1"/>
    <col min="8458" max="8458" width="5.13888888888889" style="2" customWidth="1"/>
    <col min="8459" max="8459" width="30.4259259259259" style="2" customWidth="1"/>
    <col min="8460" max="8462" width="5.85185185185185" style="2" customWidth="1"/>
    <col min="8463" max="8463" width="6.57407407407407" style="2" customWidth="1"/>
    <col min="8464" max="8464" width="10.4259259259259" style="2" customWidth="1"/>
    <col min="8465" max="8465" width="22.8518518518519" style="2" customWidth="1"/>
    <col min="8466" max="8466" width="2.42592592592593" style="2" customWidth="1"/>
    <col min="8467" max="8707" width="11.4259259259259" style="2"/>
    <col min="8708" max="8708" width="1.57407407407407" style="2" customWidth="1"/>
    <col min="8709" max="8709" width="7" style="2" customWidth="1"/>
    <col min="8710" max="8710" width="13.5740740740741" style="2" customWidth="1"/>
    <col min="8711" max="8711" width="16.5740740740741" style="2" customWidth="1"/>
    <col min="8712" max="8712" width="5" style="2" customWidth="1"/>
    <col min="8713" max="8713" width="5.42592592592593" style="2" customWidth="1"/>
    <col min="8714" max="8714" width="5.13888888888889" style="2" customWidth="1"/>
    <col min="8715" max="8715" width="30.4259259259259" style="2" customWidth="1"/>
    <col min="8716" max="8718" width="5.85185185185185" style="2" customWidth="1"/>
    <col min="8719" max="8719" width="6.57407407407407" style="2" customWidth="1"/>
    <col min="8720" max="8720" width="10.4259259259259" style="2" customWidth="1"/>
    <col min="8721" max="8721" width="22.8518518518519" style="2" customWidth="1"/>
    <col min="8722" max="8722" width="2.42592592592593" style="2" customWidth="1"/>
    <col min="8723" max="8963" width="11.4259259259259" style="2"/>
    <col min="8964" max="8964" width="1.57407407407407" style="2" customWidth="1"/>
    <col min="8965" max="8965" width="7" style="2" customWidth="1"/>
    <col min="8966" max="8966" width="13.5740740740741" style="2" customWidth="1"/>
    <col min="8967" max="8967" width="16.5740740740741" style="2" customWidth="1"/>
    <col min="8968" max="8968" width="5" style="2" customWidth="1"/>
    <col min="8969" max="8969" width="5.42592592592593" style="2" customWidth="1"/>
    <col min="8970" max="8970" width="5.13888888888889" style="2" customWidth="1"/>
    <col min="8971" max="8971" width="30.4259259259259" style="2" customWidth="1"/>
    <col min="8972" max="8974" width="5.85185185185185" style="2" customWidth="1"/>
    <col min="8975" max="8975" width="6.57407407407407" style="2" customWidth="1"/>
    <col min="8976" max="8976" width="10.4259259259259" style="2" customWidth="1"/>
    <col min="8977" max="8977" width="22.8518518518519" style="2" customWidth="1"/>
    <col min="8978" max="8978" width="2.42592592592593" style="2" customWidth="1"/>
    <col min="8979" max="9219" width="11.4259259259259" style="2"/>
    <col min="9220" max="9220" width="1.57407407407407" style="2" customWidth="1"/>
    <col min="9221" max="9221" width="7" style="2" customWidth="1"/>
    <col min="9222" max="9222" width="13.5740740740741" style="2" customWidth="1"/>
    <col min="9223" max="9223" width="16.5740740740741" style="2" customWidth="1"/>
    <col min="9224" max="9224" width="5" style="2" customWidth="1"/>
    <col min="9225" max="9225" width="5.42592592592593" style="2" customWidth="1"/>
    <col min="9226" max="9226" width="5.13888888888889" style="2" customWidth="1"/>
    <col min="9227" max="9227" width="30.4259259259259" style="2" customWidth="1"/>
    <col min="9228" max="9230" width="5.85185185185185" style="2" customWidth="1"/>
    <col min="9231" max="9231" width="6.57407407407407" style="2" customWidth="1"/>
    <col min="9232" max="9232" width="10.4259259259259" style="2" customWidth="1"/>
    <col min="9233" max="9233" width="22.8518518518519" style="2" customWidth="1"/>
    <col min="9234" max="9234" width="2.42592592592593" style="2" customWidth="1"/>
    <col min="9235" max="9475" width="11.4259259259259" style="2"/>
    <col min="9476" max="9476" width="1.57407407407407" style="2" customWidth="1"/>
    <col min="9477" max="9477" width="7" style="2" customWidth="1"/>
    <col min="9478" max="9478" width="13.5740740740741" style="2" customWidth="1"/>
    <col min="9479" max="9479" width="16.5740740740741" style="2" customWidth="1"/>
    <col min="9480" max="9480" width="5" style="2" customWidth="1"/>
    <col min="9481" max="9481" width="5.42592592592593" style="2" customWidth="1"/>
    <col min="9482" max="9482" width="5.13888888888889" style="2" customWidth="1"/>
    <col min="9483" max="9483" width="30.4259259259259" style="2" customWidth="1"/>
    <col min="9484" max="9486" width="5.85185185185185" style="2" customWidth="1"/>
    <col min="9487" max="9487" width="6.57407407407407" style="2" customWidth="1"/>
    <col min="9488" max="9488" width="10.4259259259259" style="2" customWidth="1"/>
    <col min="9489" max="9489" width="22.8518518518519" style="2" customWidth="1"/>
    <col min="9490" max="9490" width="2.42592592592593" style="2" customWidth="1"/>
    <col min="9491" max="9731" width="11.4259259259259" style="2"/>
    <col min="9732" max="9732" width="1.57407407407407" style="2" customWidth="1"/>
    <col min="9733" max="9733" width="7" style="2" customWidth="1"/>
    <col min="9734" max="9734" width="13.5740740740741" style="2" customWidth="1"/>
    <col min="9735" max="9735" width="16.5740740740741" style="2" customWidth="1"/>
    <col min="9736" max="9736" width="5" style="2" customWidth="1"/>
    <col min="9737" max="9737" width="5.42592592592593" style="2" customWidth="1"/>
    <col min="9738" max="9738" width="5.13888888888889" style="2" customWidth="1"/>
    <col min="9739" max="9739" width="30.4259259259259" style="2" customWidth="1"/>
    <col min="9740" max="9742" width="5.85185185185185" style="2" customWidth="1"/>
    <col min="9743" max="9743" width="6.57407407407407" style="2" customWidth="1"/>
    <col min="9744" max="9744" width="10.4259259259259" style="2" customWidth="1"/>
    <col min="9745" max="9745" width="22.8518518518519" style="2" customWidth="1"/>
    <col min="9746" max="9746" width="2.42592592592593" style="2" customWidth="1"/>
    <col min="9747" max="9987" width="11.4259259259259" style="2"/>
    <col min="9988" max="9988" width="1.57407407407407" style="2" customWidth="1"/>
    <col min="9989" max="9989" width="7" style="2" customWidth="1"/>
    <col min="9990" max="9990" width="13.5740740740741" style="2" customWidth="1"/>
    <col min="9991" max="9991" width="16.5740740740741" style="2" customWidth="1"/>
    <col min="9992" max="9992" width="5" style="2" customWidth="1"/>
    <col min="9993" max="9993" width="5.42592592592593" style="2" customWidth="1"/>
    <col min="9994" max="9994" width="5.13888888888889" style="2" customWidth="1"/>
    <col min="9995" max="9995" width="30.4259259259259" style="2" customWidth="1"/>
    <col min="9996" max="9998" width="5.85185185185185" style="2" customWidth="1"/>
    <col min="9999" max="9999" width="6.57407407407407" style="2" customWidth="1"/>
    <col min="10000" max="10000" width="10.4259259259259" style="2" customWidth="1"/>
    <col min="10001" max="10001" width="22.8518518518519" style="2" customWidth="1"/>
    <col min="10002" max="10002" width="2.42592592592593" style="2" customWidth="1"/>
    <col min="10003" max="10243" width="11.4259259259259" style="2"/>
    <col min="10244" max="10244" width="1.57407407407407" style="2" customWidth="1"/>
    <col min="10245" max="10245" width="7" style="2" customWidth="1"/>
    <col min="10246" max="10246" width="13.5740740740741" style="2" customWidth="1"/>
    <col min="10247" max="10247" width="16.5740740740741" style="2" customWidth="1"/>
    <col min="10248" max="10248" width="5" style="2" customWidth="1"/>
    <col min="10249" max="10249" width="5.42592592592593" style="2" customWidth="1"/>
    <col min="10250" max="10250" width="5.13888888888889" style="2" customWidth="1"/>
    <col min="10251" max="10251" width="30.4259259259259" style="2" customWidth="1"/>
    <col min="10252" max="10254" width="5.85185185185185" style="2" customWidth="1"/>
    <col min="10255" max="10255" width="6.57407407407407" style="2" customWidth="1"/>
    <col min="10256" max="10256" width="10.4259259259259" style="2" customWidth="1"/>
    <col min="10257" max="10257" width="22.8518518518519" style="2" customWidth="1"/>
    <col min="10258" max="10258" width="2.42592592592593" style="2" customWidth="1"/>
    <col min="10259" max="10499" width="11.4259259259259" style="2"/>
    <col min="10500" max="10500" width="1.57407407407407" style="2" customWidth="1"/>
    <col min="10501" max="10501" width="7" style="2" customWidth="1"/>
    <col min="10502" max="10502" width="13.5740740740741" style="2" customWidth="1"/>
    <col min="10503" max="10503" width="16.5740740740741" style="2" customWidth="1"/>
    <col min="10504" max="10504" width="5" style="2" customWidth="1"/>
    <col min="10505" max="10505" width="5.42592592592593" style="2" customWidth="1"/>
    <col min="10506" max="10506" width="5.13888888888889" style="2" customWidth="1"/>
    <col min="10507" max="10507" width="30.4259259259259" style="2" customWidth="1"/>
    <col min="10508" max="10510" width="5.85185185185185" style="2" customWidth="1"/>
    <col min="10511" max="10511" width="6.57407407407407" style="2" customWidth="1"/>
    <col min="10512" max="10512" width="10.4259259259259" style="2" customWidth="1"/>
    <col min="10513" max="10513" width="22.8518518518519" style="2" customWidth="1"/>
    <col min="10514" max="10514" width="2.42592592592593" style="2" customWidth="1"/>
    <col min="10515" max="10755" width="11.4259259259259" style="2"/>
    <col min="10756" max="10756" width="1.57407407407407" style="2" customWidth="1"/>
    <col min="10757" max="10757" width="7" style="2" customWidth="1"/>
    <col min="10758" max="10758" width="13.5740740740741" style="2" customWidth="1"/>
    <col min="10759" max="10759" width="16.5740740740741" style="2" customWidth="1"/>
    <col min="10760" max="10760" width="5" style="2" customWidth="1"/>
    <col min="10761" max="10761" width="5.42592592592593" style="2" customWidth="1"/>
    <col min="10762" max="10762" width="5.13888888888889" style="2" customWidth="1"/>
    <col min="10763" max="10763" width="30.4259259259259" style="2" customWidth="1"/>
    <col min="10764" max="10766" width="5.85185185185185" style="2" customWidth="1"/>
    <col min="10767" max="10767" width="6.57407407407407" style="2" customWidth="1"/>
    <col min="10768" max="10768" width="10.4259259259259" style="2" customWidth="1"/>
    <col min="10769" max="10769" width="22.8518518518519" style="2" customWidth="1"/>
    <col min="10770" max="10770" width="2.42592592592593" style="2" customWidth="1"/>
    <col min="10771" max="11011" width="11.4259259259259" style="2"/>
    <col min="11012" max="11012" width="1.57407407407407" style="2" customWidth="1"/>
    <col min="11013" max="11013" width="7" style="2" customWidth="1"/>
    <col min="11014" max="11014" width="13.5740740740741" style="2" customWidth="1"/>
    <col min="11015" max="11015" width="16.5740740740741" style="2" customWidth="1"/>
    <col min="11016" max="11016" width="5" style="2" customWidth="1"/>
    <col min="11017" max="11017" width="5.42592592592593" style="2" customWidth="1"/>
    <col min="11018" max="11018" width="5.13888888888889" style="2" customWidth="1"/>
    <col min="11019" max="11019" width="30.4259259259259" style="2" customWidth="1"/>
    <col min="11020" max="11022" width="5.85185185185185" style="2" customWidth="1"/>
    <col min="11023" max="11023" width="6.57407407407407" style="2" customWidth="1"/>
    <col min="11024" max="11024" width="10.4259259259259" style="2" customWidth="1"/>
    <col min="11025" max="11025" width="22.8518518518519" style="2" customWidth="1"/>
    <col min="11026" max="11026" width="2.42592592592593" style="2" customWidth="1"/>
    <col min="11027" max="11267" width="11.4259259259259" style="2"/>
    <col min="11268" max="11268" width="1.57407407407407" style="2" customWidth="1"/>
    <col min="11269" max="11269" width="7" style="2" customWidth="1"/>
    <col min="11270" max="11270" width="13.5740740740741" style="2" customWidth="1"/>
    <col min="11271" max="11271" width="16.5740740740741" style="2" customWidth="1"/>
    <col min="11272" max="11272" width="5" style="2" customWidth="1"/>
    <col min="11273" max="11273" width="5.42592592592593" style="2" customWidth="1"/>
    <col min="11274" max="11274" width="5.13888888888889" style="2" customWidth="1"/>
    <col min="11275" max="11275" width="30.4259259259259" style="2" customWidth="1"/>
    <col min="11276" max="11278" width="5.85185185185185" style="2" customWidth="1"/>
    <col min="11279" max="11279" width="6.57407407407407" style="2" customWidth="1"/>
    <col min="11280" max="11280" width="10.4259259259259" style="2" customWidth="1"/>
    <col min="11281" max="11281" width="22.8518518518519" style="2" customWidth="1"/>
    <col min="11282" max="11282" width="2.42592592592593" style="2" customWidth="1"/>
    <col min="11283" max="11523" width="11.4259259259259" style="2"/>
    <col min="11524" max="11524" width="1.57407407407407" style="2" customWidth="1"/>
    <col min="11525" max="11525" width="7" style="2" customWidth="1"/>
    <col min="11526" max="11526" width="13.5740740740741" style="2" customWidth="1"/>
    <col min="11527" max="11527" width="16.5740740740741" style="2" customWidth="1"/>
    <col min="11528" max="11528" width="5" style="2" customWidth="1"/>
    <col min="11529" max="11529" width="5.42592592592593" style="2" customWidth="1"/>
    <col min="11530" max="11530" width="5.13888888888889" style="2" customWidth="1"/>
    <col min="11531" max="11531" width="30.4259259259259" style="2" customWidth="1"/>
    <col min="11532" max="11534" width="5.85185185185185" style="2" customWidth="1"/>
    <col min="11535" max="11535" width="6.57407407407407" style="2" customWidth="1"/>
    <col min="11536" max="11536" width="10.4259259259259" style="2" customWidth="1"/>
    <col min="11537" max="11537" width="22.8518518518519" style="2" customWidth="1"/>
    <col min="11538" max="11538" width="2.42592592592593" style="2" customWidth="1"/>
    <col min="11539" max="11779" width="11.4259259259259" style="2"/>
    <col min="11780" max="11780" width="1.57407407407407" style="2" customWidth="1"/>
    <col min="11781" max="11781" width="7" style="2" customWidth="1"/>
    <col min="11782" max="11782" width="13.5740740740741" style="2" customWidth="1"/>
    <col min="11783" max="11783" width="16.5740740740741" style="2" customWidth="1"/>
    <col min="11784" max="11784" width="5" style="2" customWidth="1"/>
    <col min="11785" max="11785" width="5.42592592592593" style="2" customWidth="1"/>
    <col min="11786" max="11786" width="5.13888888888889" style="2" customWidth="1"/>
    <col min="11787" max="11787" width="30.4259259259259" style="2" customWidth="1"/>
    <col min="11788" max="11790" width="5.85185185185185" style="2" customWidth="1"/>
    <col min="11791" max="11791" width="6.57407407407407" style="2" customWidth="1"/>
    <col min="11792" max="11792" width="10.4259259259259" style="2" customWidth="1"/>
    <col min="11793" max="11793" width="22.8518518518519" style="2" customWidth="1"/>
    <col min="11794" max="11794" width="2.42592592592593" style="2" customWidth="1"/>
    <col min="11795" max="12035" width="11.4259259259259" style="2"/>
    <col min="12036" max="12036" width="1.57407407407407" style="2" customWidth="1"/>
    <col min="12037" max="12037" width="7" style="2" customWidth="1"/>
    <col min="12038" max="12038" width="13.5740740740741" style="2" customWidth="1"/>
    <col min="12039" max="12039" width="16.5740740740741" style="2" customWidth="1"/>
    <col min="12040" max="12040" width="5" style="2" customWidth="1"/>
    <col min="12041" max="12041" width="5.42592592592593" style="2" customWidth="1"/>
    <col min="12042" max="12042" width="5.13888888888889" style="2" customWidth="1"/>
    <col min="12043" max="12043" width="30.4259259259259" style="2" customWidth="1"/>
    <col min="12044" max="12046" width="5.85185185185185" style="2" customWidth="1"/>
    <col min="12047" max="12047" width="6.57407407407407" style="2" customWidth="1"/>
    <col min="12048" max="12048" width="10.4259259259259" style="2" customWidth="1"/>
    <col min="12049" max="12049" width="22.8518518518519" style="2" customWidth="1"/>
    <col min="12050" max="12050" width="2.42592592592593" style="2" customWidth="1"/>
    <col min="12051" max="12291" width="11.4259259259259" style="2"/>
    <col min="12292" max="12292" width="1.57407407407407" style="2" customWidth="1"/>
    <col min="12293" max="12293" width="7" style="2" customWidth="1"/>
    <col min="12294" max="12294" width="13.5740740740741" style="2" customWidth="1"/>
    <col min="12295" max="12295" width="16.5740740740741" style="2" customWidth="1"/>
    <col min="12296" max="12296" width="5" style="2" customWidth="1"/>
    <col min="12297" max="12297" width="5.42592592592593" style="2" customWidth="1"/>
    <col min="12298" max="12298" width="5.13888888888889" style="2" customWidth="1"/>
    <col min="12299" max="12299" width="30.4259259259259" style="2" customWidth="1"/>
    <col min="12300" max="12302" width="5.85185185185185" style="2" customWidth="1"/>
    <col min="12303" max="12303" width="6.57407407407407" style="2" customWidth="1"/>
    <col min="12304" max="12304" width="10.4259259259259" style="2" customWidth="1"/>
    <col min="12305" max="12305" width="22.8518518518519" style="2" customWidth="1"/>
    <col min="12306" max="12306" width="2.42592592592593" style="2" customWidth="1"/>
    <col min="12307" max="12547" width="11.4259259259259" style="2"/>
    <col min="12548" max="12548" width="1.57407407407407" style="2" customWidth="1"/>
    <col min="12549" max="12549" width="7" style="2" customWidth="1"/>
    <col min="12550" max="12550" width="13.5740740740741" style="2" customWidth="1"/>
    <col min="12551" max="12551" width="16.5740740740741" style="2" customWidth="1"/>
    <col min="12552" max="12552" width="5" style="2" customWidth="1"/>
    <col min="12553" max="12553" width="5.42592592592593" style="2" customWidth="1"/>
    <col min="12554" max="12554" width="5.13888888888889" style="2" customWidth="1"/>
    <col min="12555" max="12555" width="30.4259259259259" style="2" customWidth="1"/>
    <col min="12556" max="12558" width="5.85185185185185" style="2" customWidth="1"/>
    <col min="12559" max="12559" width="6.57407407407407" style="2" customWidth="1"/>
    <col min="12560" max="12560" width="10.4259259259259" style="2" customWidth="1"/>
    <col min="12561" max="12561" width="22.8518518518519" style="2" customWidth="1"/>
    <col min="12562" max="12562" width="2.42592592592593" style="2" customWidth="1"/>
    <col min="12563" max="12803" width="11.4259259259259" style="2"/>
    <col min="12804" max="12804" width="1.57407407407407" style="2" customWidth="1"/>
    <col min="12805" max="12805" width="7" style="2" customWidth="1"/>
    <col min="12806" max="12806" width="13.5740740740741" style="2" customWidth="1"/>
    <col min="12807" max="12807" width="16.5740740740741" style="2" customWidth="1"/>
    <col min="12808" max="12808" width="5" style="2" customWidth="1"/>
    <col min="12809" max="12809" width="5.42592592592593" style="2" customWidth="1"/>
    <col min="12810" max="12810" width="5.13888888888889" style="2" customWidth="1"/>
    <col min="12811" max="12811" width="30.4259259259259" style="2" customWidth="1"/>
    <col min="12812" max="12814" width="5.85185185185185" style="2" customWidth="1"/>
    <col min="12815" max="12815" width="6.57407407407407" style="2" customWidth="1"/>
    <col min="12816" max="12816" width="10.4259259259259" style="2" customWidth="1"/>
    <col min="12817" max="12817" width="22.8518518518519" style="2" customWidth="1"/>
    <col min="12818" max="12818" width="2.42592592592593" style="2" customWidth="1"/>
    <col min="12819" max="13059" width="11.4259259259259" style="2"/>
    <col min="13060" max="13060" width="1.57407407407407" style="2" customWidth="1"/>
    <col min="13061" max="13061" width="7" style="2" customWidth="1"/>
    <col min="13062" max="13062" width="13.5740740740741" style="2" customWidth="1"/>
    <col min="13063" max="13063" width="16.5740740740741" style="2" customWidth="1"/>
    <col min="13064" max="13064" width="5" style="2" customWidth="1"/>
    <col min="13065" max="13065" width="5.42592592592593" style="2" customWidth="1"/>
    <col min="13066" max="13066" width="5.13888888888889" style="2" customWidth="1"/>
    <col min="13067" max="13067" width="30.4259259259259" style="2" customWidth="1"/>
    <col min="13068" max="13070" width="5.85185185185185" style="2" customWidth="1"/>
    <col min="13071" max="13071" width="6.57407407407407" style="2" customWidth="1"/>
    <col min="13072" max="13072" width="10.4259259259259" style="2" customWidth="1"/>
    <col min="13073" max="13073" width="22.8518518518519" style="2" customWidth="1"/>
    <col min="13074" max="13074" width="2.42592592592593" style="2" customWidth="1"/>
    <col min="13075" max="13315" width="11.4259259259259" style="2"/>
    <col min="13316" max="13316" width="1.57407407407407" style="2" customWidth="1"/>
    <col min="13317" max="13317" width="7" style="2" customWidth="1"/>
    <col min="13318" max="13318" width="13.5740740740741" style="2" customWidth="1"/>
    <col min="13319" max="13319" width="16.5740740740741" style="2" customWidth="1"/>
    <col min="13320" max="13320" width="5" style="2" customWidth="1"/>
    <col min="13321" max="13321" width="5.42592592592593" style="2" customWidth="1"/>
    <col min="13322" max="13322" width="5.13888888888889" style="2" customWidth="1"/>
    <col min="13323" max="13323" width="30.4259259259259" style="2" customWidth="1"/>
    <col min="13324" max="13326" width="5.85185185185185" style="2" customWidth="1"/>
    <col min="13327" max="13327" width="6.57407407407407" style="2" customWidth="1"/>
    <col min="13328" max="13328" width="10.4259259259259" style="2" customWidth="1"/>
    <col min="13329" max="13329" width="22.8518518518519" style="2" customWidth="1"/>
    <col min="13330" max="13330" width="2.42592592592593" style="2" customWidth="1"/>
    <col min="13331" max="13571" width="11.4259259259259" style="2"/>
    <col min="13572" max="13572" width="1.57407407407407" style="2" customWidth="1"/>
    <col min="13573" max="13573" width="7" style="2" customWidth="1"/>
    <col min="13574" max="13574" width="13.5740740740741" style="2" customWidth="1"/>
    <col min="13575" max="13575" width="16.5740740740741" style="2" customWidth="1"/>
    <col min="13576" max="13576" width="5" style="2" customWidth="1"/>
    <col min="13577" max="13577" width="5.42592592592593" style="2" customWidth="1"/>
    <col min="13578" max="13578" width="5.13888888888889" style="2" customWidth="1"/>
    <col min="13579" max="13579" width="30.4259259259259" style="2" customWidth="1"/>
    <col min="13580" max="13582" width="5.85185185185185" style="2" customWidth="1"/>
    <col min="13583" max="13583" width="6.57407407407407" style="2" customWidth="1"/>
    <col min="13584" max="13584" width="10.4259259259259" style="2" customWidth="1"/>
    <col min="13585" max="13585" width="22.8518518518519" style="2" customWidth="1"/>
    <col min="13586" max="13586" width="2.42592592592593" style="2" customWidth="1"/>
    <col min="13587" max="13827" width="11.4259259259259" style="2"/>
    <col min="13828" max="13828" width="1.57407407407407" style="2" customWidth="1"/>
    <col min="13829" max="13829" width="7" style="2" customWidth="1"/>
    <col min="13830" max="13830" width="13.5740740740741" style="2" customWidth="1"/>
    <col min="13831" max="13831" width="16.5740740740741" style="2" customWidth="1"/>
    <col min="13832" max="13832" width="5" style="2" customWidth="1"/>
    <col min="13833" max="13833" width="5.42592592592593" style="2" customWidth="1"/>
    <col min="13834" max="13834" width="5.13888888888889" style="2" customWidth="1"/>
    <col min="13835" max="13835" width="30.4259259259259" style="2" customWidth="1"/>
    <col min="13836" max="13838" width="5.85185185185185" style="2" customWidth="1"/>
    <col min="13839" max="13839" width="6.57407407407407" style="2" customWidth="1"/>
    <col min="13840" max="13840" width="10.4259259259259" style="2" customWidth="1"/>
    <col min="13841" max="13841" width="22.8518518518519" style="2" customWidth="1"/>
    <col min="13842" max="13842" width="2.42592592592593" style="2" customWidth="1"/>
    <col min="13843" max="14083" width="11.4259259259259" style="2"/>
    <col min="14084" max="14084" width="1.57407407407407" style="2" customWidth="1"/>
    <col min="14085" max="14085" width="7" style="2" customWidth="1"/>
    <col min="14086" max="14086" width="13.5740740740741" style="2" customWidth="1"/>
    <col min="14087" max="14087" width="16.5740740740741" style="2" customWidth="1"/>
    <col min="14088" max="14088" width="5" style="2" customWidth="1"/>
    <col min="14089" max="14089" width="5.42592592592593" style="2" customWidth="1"/>
    <col min="14090" max="14090" width="5.13888888888889" style="2" customWidth="1"/>
    <col min="14091" max="14091" width="30.4259259259259" style="2" customWidth="1"/>
    <col min="14092" max="14094" width="5.85185185185185" style="2" customWidth="1"/>
    <col min="14095" max="14095" width="6.57407407407407" style="2" customWidth="1"/>
    <col min="14096" max="14096" width="10.4259259259259" style="2" customWidth="1"/>
    <col min="14097" max="14097" width="22.8518518518519" style="2" customWidth="1"/>
    <col min="14098" max="14098" width="2.42592592592593" style="2" customWidth="1"/>
    <col min="14099" max="14339" width="11.4259259259259" style="2"/>
    <col min="14340" max="14340" width="1.57407407407407" style="2" customWidth="1"/>
    <col min="14341" max="14341" width="7" style="2" customWidth="1"/>
    <col min="14342" max="14342" width="13.5740740740741" style="2" customWidth="1"/>
    <col min="14343" max="14343" width="16.5740740740741" style="2" customWidth="1"/>
    <col min="14344" max="14344" width="5" style="2" customWidth="1"/>
    <col min="14345" max="14345" width="5.42592592592593" style="2" customWidth="1"/>
    <col min="14346" max="14346" width="5.13888888888889" style="2" customWidth="1"/>
    <col min="14347" max="14347" width="30.4259259259259" style="2" customWidth="1"/>
    <col min="14348" max="14350" width="5.85185185185185" style="2" customWidth="1"/>
    <col min="14351" max="14351" width="6.57407407407407" style="2" customWidth="1"/>
    <col min="14352" max="14352" width="10.4259259259259" style="2" customWidth="1"/>
    <col min="14353" max="14353" width="22.8518518518519" style="2" customWidth="1"/>
    <col min="14354" max="14354" width="2.42592592592593" style="2" customWidth="1"/>
    <col min="14355" max="14595" width="11.4259259259259" style="2"/>
    <col min="14596" max="14596" width="1.57407407407407" style="2" customWidth="1"/>
    <col min="14597" max="14597" width="7" style="2" customWidth="1"/>
    <col min="14598" max="14598" width="13.5740740740741" style="2" customWidth="1"/>
    <col min="14599" max="14599" width="16.5740740740741" style="2" customWidth="1"/>
    <col min="14600" max="14600" width="5" style="2" customWidth="1"/>
    <col min="14601" max="14601" width="5.42592592592593" style="2" customWidth="1"/>
    <col min="14602" max="14602" width="5.13888888888889" style="2" customWidth="1"/>
    <col min="14603" max="14603" width="30.4259259259259" style="2" customWidth="1"/>
    <col min="14604" max="14606" width="5.85185185185185" style="2" customWidth="1"/>
    <col min="14607" max="14607" width="6.57407407407407" style="2" customWidth="1"/>
    <col min="14608" max="14608" width="10.4259259259259" style="2" customWidth="1"/>
    <col min="14609" max="14609" width="22.8518518518519" style="2" customWidth="1"/>
    <col min="14610" max="14610" width="2.42592592592593" style="2" customWidth="1"/>
    <col min="14611" max="14851" width="11.4259259259259" style="2"/>
    <col min="14852" max="14852" width="1.57407407407407" style="2" customWidth="1"/>
    <col min="14853" max="14853" width="7" style="2" customWidth="1"/>
    <col min="14854" max="14854" width="13.5740740740741" style="2" customWidth="1"/>
    <col min="14855" max="14855" width="16.5740740740741" style="2" customWidth="1"/>
    <col min="14856" max="14856" width="5" style="2" customWidth="1"/>
    <col min="14857" max="14857" width="5.42592592592593" style="2" customWidth="1"/>
    <col min="14858" max="14858" width="5.13888888888889" style="2" customWidth="1"/>
    <col min="14859" max="14859" width="30.4259259259259" style="2" customWidth="1"/>
    <col min="14860" max="14862" width="5.85185185185185" style="2" customWidth="1"/>
    <col min="14863" max="14863" width="6.57407407407407" style="2" customWidth="1"/>
    <col min="14864" max="14864" width="10.4259259259259" style="2" customWidth="1"/>
    <col min="14865" max="14865" width="22.8518518518519" style="2" customWidth="1"/>
    <col min="14866" max="14866" width="2.42592592592593" style="2" customWidth="1"/>
    <col min="14867" max="15107" width="11.4259259259259" style="2"/>
    <col min="15108" max="15108" width="1.57407407407407" style="2" customWidth="1"/>
    <col min="15109" max="15109" width="7" style="2" customWidth="1"/>
    <col min="15110" max="15110" width="13.5740740740741" style="2" customWidth="1"/>
    <col min="15111" max="15111" width="16.5740740740741" style="2" customWidth="1"/>
    <col min="15112" max="15112" width="5" style="2" customWidth="1"/>
    <col min="15113" max="15113" width="5.42592592592593" style="2" customWidth="1"/>
    <col min="15114" max="15114" width="5.13888888888889" style="2" customWidth="1"/>
    <col min="15115" max="15115" width="30.4259259259259" style="2" customWidth="1"/>
    <col min="15116" max="15118" width="5.85185185185185" style="2" customWidth="1"/>
    <col min="15119" max="15119" width="6.57407407407407" style="2" customWidth="1"/>
    <col min="15120" max="15120" width="10.4259259259259" style="2" customWidth="1"/>
    <col min="15121" max="15121" width="22.8518518518519" style="2" customWidth="1"/>
    <col min="15122" max="15122" width="2.42592592592593" style="2" customWidth="1"/>
    <col min="15123" max="15363" width="11.4259259259259" style="2"/>
    <col min="15364" max="15364" width="1.57407407407407" style="2" customWidth="1"/>
    <col min="15365" max="15365" width="7" style="2" customWidth="1"/>
    <col min="15366" max="15366" width="13.5740740740741" style="2" customWidth="1"/>
    <col min="15367" max="15367" width="16.5740740740741" style="2" customWidth="1"/>
    <col min="15368" max="15368" width="5" style="2" customWidth="1"/>
    <col min="15369" max="15369" width="5.42592592592593" style="2" customWidth="1"/>
    <col min="15370" max="15370" width="5.13888888888889" style="2" customWidth="1"/>
    <col min="15371" max="15371" width="30.4259259259259" style="2" customWidth="1"/>
    <col min="15372" max="15374" width="5.85185185185185" style="2" customWidth="1"/>
    <col min="15375" max="15375" width="6.57407407407407" style="2" customWidth="1"/>
    <col min="15376" max="15376" width="10.4259259259259" style="2" customWidth="1"/>
    <col min="15377" max="15377" width="22.8518518518519" style="2" customWidth="1"/>
    <col min="15378" max="15378" width="2.42592592592593" style="2" customWidth="1"/>
    <col min="15379" max="15619" width="11.4259259259259" style="2"/>
    <col min="15620" max="15620" width="1.57407407407407" style="2" customWidth="1"/>
    <col min="15621" max="15621" width="7" style="2" customWidth="1"/>
    <col min="15622" max="15622" width="13.5740740740741" style="2" customWidth="1"/>
    <col min="15623" max="15623" width="16.5740740740741" style="2" customWidth="1"/>
    <col min="15624" max="15624" width="5" style="2" customWidth="1"/>
    <col min="15625" max="15625" width="5.42592592592593" style="2" customWidth="1"/>
    <col min="15626" max="15626" width="5.13888888888889" style="2" customWidth="1"/>
    <col min="15627" max="15627" width="30.4259259259259" style="2" customWidth="1"/>
    <col min="15628" max="15630" width="5.85185185185185" style="2" customWidth="1"/>
    <col min="15631" max="15631" width="6.57407407407407" style="2" customWidth="1"/>
    <col min="15632" max="15632" width="10.4259259259259" style="2" customWidth="1"/>
    <col min="15633" max="15633" width="22.8518518518519" style="2" customWidth="1"/>
    <col min="15634" max="15634" width="2.42592592592593" style="2" customWidth="1"/>
    <col min="15635" max="15875" width="11.4259259259259" style="2"/>
    <col min="15876" max="15876" width="1.57407407407407" style="2" customWidth="1"/>
    <col min="15877" max="15877" width="7" style="2" customWidth="1"/>
    <col min="15878" max="15878" width="13.5740740740741" style="2" customWidth="1"/>
    <col min="15879" max="15879" width="16.5740740740741" style="2" customWidth="1"/>
    <col min="15880" max="15880" width="5" style="2" customWidth="1"/>
    <col min="15881" max="15881" width="5.42592592592593" style="2" customWidth="1"/>
    <col min="15882" max="15882" width="5.13888888888889" style="2" customWidth="1"/>
    <col min="15883" max="15883" width="30.4259259259259" style="2" customWidth="1"/>
    <col min="15884" max="15886" width="5.85185185185185" style="2" customWidth="1"/>
    <col min="15887" max="15887" width="6.57407407407407" style="2" customWidth="1"/>
    <col min="15888" max="15888" width="10.4259259259259" style="2" customWidth="1"/>
    <col min="15889" max="15889" width="22.8518518518519" style="2" customWidth="1"/>
    <col min="15890" max="15890" width="2.42592592592593" style="2" customWidth="1"/>
    <col min="15891" max="16131" width="11.4259259259259" style="2"/>
    <col min="16132" max="16132" width="1.57407407407407" style="2" customWidth="1"/>
    <col min="16133" max="16133" width="7" style="2" customWidth="1"/>
    <col min="16134" max="16134" width="13.5740740740741" style="2" customWidth="1"/>
    <col min="16135" max="16135" width="16.5740740740741" style="2" customWidth="1"/>
    <col min="16136" max="16136" width="5" style="2" customWidth="1"/>
    <col min="16137" max="16137" width="5.42592592592593" style="2" customWidth="1"/>
    <col min="16138" max="16138" width="5.13888888888889" style="2" customWidth="1"/>
    <col min="16139" max="16139" width="30.4259259259259" style="2" customWidth="1"/>
    <col min="16140" max="16142" width="5.85185185185185" style="2" customWidth="1"/>
    <col min="16143" max="16143" width="6.57407407407407" style="2" customWidth="1"/>
    <col min="16144" max="16144" width="10.4259259259259" style="2" customWidth="1"/>
    <col min="16145" max="16145" width="22.8518518518519" style="2" customWidth="1"/>
    <col min="16146" max="16146" width="2.42592592592593" style="2" customWidth="1"/>
    <col min="16147" max="16384" width="11.4259259259259" style="2"/>
  </cols>
  <sheetData>
    <row r="1" ht="6.95" customHeight="1" spans="2:19">
      <c r="B1" s="5"/>
      <c r="C1" s="6"/>
      <c r="D1" s="5"/>
      <c r="E1" s="5"/>
      <c r="F1" s="5"/>
      <c r="G1" s="5"/>
      <c r="H1" s="5"/>
      <c r="I1" s="5"/>
      <c r="J1" s="5"/>
      <c r="K1" s="34"/>
      <c r="L1" s="34"/>
      <c r="M1" s="34"/>
      <c r="N1" s="5"/>
      <c r="O1" s="5"/>
      <c r="P1" s="5"/>
      <c r="Q1" s="5"/>
      <c r="R1" s="14"/>
      <c r="S1" s="59"/>
    </row>
    <row r="2" ht="32.25" customHeight="1" spans="2:19">
      <c r="B2" s="7" t="s">
        <v>0</v>
      </c>
      <c r="C2" s="7"/>
      <c r="D2" s="8" t="s">
        <v>1</v>
      </c>
      <c r="E2" s="9"/>
      <c r="F2" s="10" t="s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60"/>
      <c r="R2" s="14"/>
      <c r="S2" s="59"/>
    </row>
    <row r="3" ht="32.25" customHeight="1" spans="2:19">
      <c r="B3" s="7" t="s">
        <v>3</v>
      </c>
      <c r="C3" s="7"/>
      <c r="D3" s="8" t="s">
        <v>4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60"/>
      <c r="R3" s="14"/>
      <c r="S3" s="59"/>
    </row>
    <row r="4" ht="32.25" customHeight="1" spans="2:19">
      <c r="B4" s="7" t="s">
        <v>5</v>
      </c>
      <c r="C4" s="7"/>
      <c r="D4" s="8" t="s">
        <v>6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60"/>
      <c r="R4" s="14"/>
      <c r="S4" s="59"/>
    </row>
    <row r="5" s="1" customFormat="1" ht="14.25" customHeight="1" spans="2:19">
      <c r="B5" s="11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2"/>
      <c r="Q5" s="13"/>
      <c r="R5" s="24"/>
      <c r="S5" s="59"/>
    </row>
    <row r="6" ht="10.5" customHeight="1" spans="2:19">
      <c r="B6" s="14"/>
      <c r="C6" s="15"/>
      <c r="D6" s="14"/>
      <c r="E6" s="14"/>
      <c r="F6" s="14"/>
      <c r="G6" s="14"/>
      <c r="H6" s="14"/>
      <c r="I6" s="14"/>
      <c r="J6" s="14"/>
      <c r="K6" s="35"/>
      <c r="L6" s="35"/>
      <c r="M6" s="35"/>
      <c r="N6" s="14"/>
      <c r="O6" s="14"/>
      <c r="P6" s="14"/>
      <c r="Q6" s="14"/>
      <c r="R6" s="24"/>
      <c r="S6" s="59"/>
    </row>
    <row r="7" ht="30" customHeight="1" spans="2:20">
      <c r="B7" s="16" t="s">
        <v>7</v>
      </c>
      <c r="C7" s="16"/>
      <c r="D7" s="16"/>
      <c r="E7" s="17" t="s">
        <v>187</v>
      </c>
      <c r="F7" s="17"/>
      <c r="G7" s="17"/>
      <c r="H7" s="17"/>
      <c r="I7" s="17"/>
      <c r="J7" s="36" t="s">
        <v>9</v>
      </c>
      <c r="K7" s="37" t="s">
        <v>10</v>
      </c>
      <c r="L7" s="38"/>
      <c r="M7" s="38"/>
      <c r="N7" s="38"/>
      <c r="O7" s="38"/>
      <c r="P7" s="38"/>
      <c r="Q7" s="61"/>
      <c r="R7" s="24"/>
      <c r="S7" s="59"/>
      <c r="T7" s="62"/>
    </row>
    <row r="8" ht="5.25" customHeight="1" spans="2:20">
      <c r="B8" s="14"/>
      <c r="C8" s="18"/>
      <c r="D8" s="18"/>
      <c r="E8" s="19"/>
      <c r="F8" s="19"/>
      <c r="G8" s="19"/>
      <c r="H8" s="19"/>
      <c r="I8" s="19"/>
      <c r="J8" s="14"/>
      <c r="K8" s="18"/>
      <c r="L8" s="18"/>
      <c r="M8" s="18"/>
      <c r="N8" s="18"/>
      <c r="O8" s="14"/>
      <c r="P8" s="14"/>
      <c r="Q8" s="14"/>
      <c r="R8" s="24"/>
      <c r="S8" s="14"/>
      <c r="T8" s="62"/>
    </row>
    <row r="9" ht="33.75" customHeight="1" spans="2:20">
      <c r="B9" s="16" t="s">
        <v>11</v>
      </c>
      <c r="C9" s="16"/>
      <c r="D9" s="16"/>
      <c r="E9" s="20" t="s">
        <v>277</v>
      </c>
      <c r="F9" s="20"/>
      <c r="G9" s="20"/>
      <c r="H9" s="20"/>
      <c r="I9" s="20"/>
      <c r="J9" s="39" t="s">
        <v>13</v>
      </c>
      <c r="K9" s="40" t="s">
        <v>278</v>
      </c>
      <c r="L9" s="40"/>
      <c r="M9" s="40"/>
      <c r="N9" s="40"/>
      <c r="O9" s="40"/>
      <c r="P9" s="40"/>
      <c r="Q9" s="40"/>
      <c r="R9" s="24"/>
      <c r="S9" s="14"/>
      <c r="T9" s="62"/>
    </row>
    <row r="10" ht="15" customHeight="1" spans="2:20">
      <c r="B10" s="14"/>
      <c r="C10" s="15"/>
      <c r="D10" s="14"/>
      <c r="E10" s="14"/>
      <c r="F10" s="14"/>
      <c r="G10" s="14"/>
      <c r="H10" s="14"/>
      <c r="I10" s="14"/>
      <c r="J10" s="14"/>
      <c r="K10" s="35"/>
      <c r="L10" s="35"/>
      <c r="M10" s="35"/>
      <c r="N10" s="14"/>
      <c r="O10" s="14"/>
      <c r="P10" s="14"/>
      <c r="Q10" s="14"/>
      <c r="R10" s="24"/>
      <c r="S10" s="14"/>
      <c r="T10" s="62"/>
    </row>
    <row r="11" ht="31.5" customHeight="1" spans="2:20">
      <c r="B11" s="21" t="s">
        <v>15</v>
      </c>
      <c r="C11" s="21" t="s">
        <v>16</v>
      </c>
      <c r="D11" s="21" t="s">
        <v>17</v>
      </c>
      <c r="E11" s="21"/>
      <c r="F11" s="21"/>
      <c r="G11" s="21"/>
      <c r="H11" s="21"/>
      <c r="I11" s="21" t="s">
        <v>18</v>
      </c>
      <c r="J11" s="21" t="s">
        <v>19</v>
      </c>
      <c r="K11" s="21" t="s">
        <v>20</v>
      </c>
      <c r="L11" s="21"/>
      <c r="M11" s="21"/>
      <c r="N11" s="21"/>
      <c r="O11" s="21" t="s">
        <v>21</v>
      </c>
      <c r="P11" s="21"/>
      <c r="Q11" s="21"/>
      <c r="R11" s="24"/>
      <c r="S11" s="14"/>
      <c r="T11" s="62"/>
    </row>
    <row r="12" ht="62.25" customHeight="1" spans="2:30">
      <c r="B12" s="21"/>
      <c r="C12" s="21"/>
      <c r="D12" s="21"/>
      <c r="E12" s="21"/>
      <c r="F12" s="21"/>
      <c r="G12" s="21"/>
      <c r="H12" s="21"/>
      <c r="I12" s="21"/>
      <c r="J12" s="21"/>
      <c r="K12" s="41" t="s">
        <v>22</v>
      </c>
      <c r="L12" s="41" t="s">
        <v>23</v>
      </c>
      <c r="M12" s="41" t="s">
        <v>24</v>
      </c>
      <c r="N12" s="41" t="s">
        <v>25</v>
      </c>
      <c r="O12" s="21"/>
      <c r="P12" s="21"/>
      <c r="Q12" s="21"/>
      <c r="R12" s="24"/>
      <c r="S12" s="63"/>
      <c r="T12" s="62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 ht="41.25" customHeight="1" spans="2:30">
      <c r="B13" s="22"/>
      <c r="C13" s="22"/>
      <c r="D13" s="22" t="s">
        <v>277</v>
      </c>
      <c r="E13" s="22"/>
      <c r="F13" s="22"/>
      <c r="G13" s="22"/>
      <c r="H13" s="22"/>
      <c r="I13" s="22" t="s">
        <v>279</v>
      </c>
      <c r="J13" s="42" t="s">
        <v>280</v>
      </c>
      <c r="K13" s="43"/>
      <c r="L13" s="43" t="s">
        <v>29</v>
      </c>
      <c r="M13" s="43"/>
      <c r="N13" s="43"/>
      <c r="O13" s="44" t="s">
        <v>281</v>
      </c>
      <c r="P13" s="45"/>
      <c r="Q13" s="65"/>
      <c r="R13" s="24"/>
      <c r="S13" s="63"/>
      <c r="T13" s="62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 ht="41.25" customHeight="1" spans="2:30">
      <c r="B14" s="22"/>
      <c r="C14" s="22"/>
      <c r="D14" s="22"/>
      <c r="E14" s="22"/>
      <c r="F14" s="22"/>
      <c r="G14" s="22"/>
      <c r="H14" s="22"/>
      <c r="I14" s="22"/>
      <c r="J14" s="42" t="s">
        <v>282</v>
      </c>
      <c r="K14" s="43"/>
      <c r="L14" s="43"/>
      <c r="M14" s="43" t="s">
        <v>29</v>
      </c>
      <c r="N14" s="43"/>
      <c r="O14" s="44" t="s">
        <v>129</v>
      </c>
      <c r="P14" s="45"/>
      <c r="Q14" s="65"/>
      <c r="R14" s="24"/>
      <c r="S14" s="63"/>
      <c r="T14" s="62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 ht="41.25" customHeight="1" spans="2:30">
      <c r="B15" s="22"/>
      <c r="C15" s="22"/>
      <c r="D15" s="22"/>
      <c r="E15" s="22"/>
      <c r="F15" s="22"/>
      <c r="G15" s="22"/>
      <c r="H15" s="22"/>
      <c r="I15" s="22"/>
      <c r="J15" s="42"/>
      <c r="K15" s="43"/>
      <c r="L15" s="43"/>
      <c r="M15" s="43"/>
      <c r="N15" s="43"/>
      <c r="O15" s="44"/>
      <c r="P15" s="45"/>
      <c r="Q15" s="65"/>
      <c r="R15" s="24"/>
      <c r="S15" s="63"/>
      <c r="T15" s="62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 ht="41.25" customHeight="1" spans="2:30">
      <c r="B16" s="22"/>
      <c r="C16" s="22"/>
      <c r="D16" s="22"/>
      <c r="E16" s="22"/>
      <c r="F16" s="22"/>
      <c r="G16" s="22"/>
      <c r="H16" s="22"/>
      <c r="I16" s="22"/>
      <c r="J16" s="42"/>
      <c r="K16" s="43"/>
      <c r="L16" s="43"/>
      <c r="M16" s="43"/>
      <c r="N16" s="43"/>
      <c r="O16" s="44"/>
      <c r="P16" s="45"/>
      <c r="Q16" s="65"/>
      <c r="R16" s="24"/>
      <c r="S16" s="63"/>
      <c r="T16" s="62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 ht="41.25" customHeight="1" spans="2:30">
      <c r="B17" s="22"/>
      <c r="C17" s="22"/>
      <c r="D17" s="22"/>
      <c r="E17" s="22"/>
      <c r="F17" s="22"/>
      <c r="G17" s="22"/>
      <c r="H17" s="22"/>
      <c r="I17" s="22"/>
      <c r="J17" s="42"/>
      <c r="K17" s="43"/>
      <c r="L17" s="43"/>
      <c r="M17" s="43"/>
      <c r="N17" s="43"/>
      <c r="O17" s="44"/>
      <c r="P17" s="45"/>
      <c r="Q17" s="65"/>
      <c r="R17" s="24"/>
      <c r="S17" s="63"/>
      <c r="T17" s="62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ht="41.25" customHeight="1" spans="2:30">
      <c r="B18" s="22"/>
      <c r="C18" s="22"/>
      <c r="D18" s="22"/>
      <c r="E18" s="22"/>
      <c r="F18" s="22"/>
      <c r="G18" s="22"/>
      <c r="H18" s="22"/>
      <c r="I18" s="22"/>
      <c r="J18" s="42"/>
      <c r="K18" s="43"/>
      <c r="L18" s="43"/>
      <c r="M18" s="43"/>
      <c r="N18" s="43"/>
      <c r="O18" s="44"/>
      <c r="P18" s="45"/>
      <c r="Q18" s="65"/>
      <c r="R18" s="24"/>
      <c r="S18" s="63"/>
      <c r="T18" s="62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ht="41.25" customHeight="1" spans="2:30">
      <c r="B19" s="22"/>
      <c r="C19" s="22"/>
      <c r="D19" s="22"/>
      <c r="E19" s="22"/>
      <c r="F19" s="22"/>
      <c r="G19" s="22"/>
      <c r="H19" s="22"/>
      <c r="I19" s="22"/>
      <c r="J19" s="42"/>
      <c r="K19" s="43"/>
      <c r="L19" s="43"/>
      <c r="M19" s="43"/>
      <c r="N19" s="43"/>
      <c r="O19" s="44"/>
      <c r="P19" s="45"/>
      <c r="Q19" s="65"/>
      <c r="R19" s="24"/>
      <c r="S19" s="63"/>
      <c r="T19" s="62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 ht="41.25" customHeight="1" spans="2:30">
      <c r="B20" s="22"/>
      <c r="C20" s="22"/>
      <c r="D20" s="22"/>
      <c r="E20" s="22"/>
      <c r="F20" s="22"/>
      <c r="G20" s="22"/>
      <c r="H20" s="22"/>
      <c r="I20" s="22"/>
      <c r="J20" s="42"/>
      <c r="K20" s="43"/>
      <c r="L20" s="43"/>
      <c r="M20" s="43"/>
      <c r="N20" s="43"/>
      <c r="O20" s="46"/>
      <c r="P20" s="46"/>
      <c r="Q20" s="46"/>
      <c r="R20" s="24"/>
      <c r="S20" s="63"/>
      <c r="T20" s="62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 ht="41.25" customHeight="1" spans="2:30">
      <c r="B21" s="22"/>
      <c r="C21" s="22"/>
      <c r="D21" s="22"/>
      <c r="E21" s="22"/>
      <c r="F21" s="22"/>
      <c r="G21" s="22"/>
      <c r="H21" s="22"/>
      <c r="I21" s="22"/>
      <c r="J21" s="42"/>
      <c r="K21" s="43"/>
      <c r="L21" s="43"/>
      <c r="M21" s="43"/>
      <c r="N21" s="43"/>
      <c r="O21" s="44"/>
      <c r="P21" s="45"/>
      <c r="Q21" s="65"/>
      <c r="R21" s="24"/>
      <c r="S21" s="63"/>
      <c r="T21" s="62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 ht="41.25" customHeight="1" spans="2:30">
      <c r="B22" s="22"/>
      <c r="C22" s="22"/>
      <c r="D22" s="22"/>
      <c r="E22" s="22"/>
      <c r="F22" s="22"/>
      <c r="G22" s="22"/>
      <c r="H22" s="22"/>
      <c r="I22" s="22"/>
      <c r="J22" s="42"/>
      <c r="K22" s="43"/>
      <c r="L22" s="43"/>
      <c r="M22" s="43"/>
      <c r="N22" s="43"/>
      <c r="O22" s="44"/>
      <c r="P22" s="45"/>
      <c r="Q22" s="65"/>
      <c r="R22" s="24"/>
      <c r="S22" s="63"/>
      <c r="T22" s="62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 ht="41.25" customHeight="1" spans="2:30">
      <c r="B23" s="22"/>
      <c r="C23" s="22"/>
      <c r="D23" s="22"/>
      <c r="E23" s="22"/>
      <c r="F23" s="22"/>
      <c r="G23" s="22"/>
      <c r="H23" s="22"/>
      <c r="I23" s="22"/>
      <c r="J23" s="42"/>
      <c r="K23" s="43"/>
      <c r="L23" s="43"/>
      <c r="M23" s="43"/>
      <c r="N23" s="43"/>
      <c r="O23" s="44"/>
      <c r="P23" s="45"/>
      <c r="Q23" s="65"/>
      <c r="R23" s="24"/>
      <c r="S23" s="63"/>
      <c r="T23" s="62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 ht="41.25" customHeight="1" spans="2:20">
      <c r="B24" s="22"/>
      <c r="C24" s="22"/>
      <c r="D24" s="22"/>
      <c r="E24" s="22"/>
      <c r="F24" s="22"/>
      <c r="G24" s="22"/>
      <c r="H24" s="22"/>
      <c r="I24" s="22"/>
      <c r="J24" s="42"/>
      <c r="K24" s="43"/>
      <c r="L24" s="43"/>
      <c r="M24" s="43"/>
      <c r="N24" s="43"/>
      <c r="O24" s="44"/>
      <c r="P24" s="45"/>
      <c r="Q24" s="65"/>
      <c r="R24" s="24" t="s">
        <v>29</v>
      </c>
      <c r="S24" s="14"/>
      <c r="T24" s="62"/>
    </row>
    <row r="25" ht="41.25" customHeight="1" spans="2:20">
      <c r="B25" s="22"/>
      <c r="C25" s="22"/>
      <c r="D25" s="22"/>
      <c r="E25" s="22"/>
      <c r="F25" s="22"/>
      <c r="G25" s="22"/>
      <c r="H25" s="22"/>
      <c r="I25" s="22"/>
      <c r="J25" s="42"/>
      <c r="K25" s="43"/>
      <c r="L25" s="43"/>
      <c r="M25" s="43"/>
      <c r="N25" s="43"/>
      <c r="O25" s="44"/>
      <c r="P25" s="45"/>
      <c r="Q25" s="65"/>
      <c r="R25" s="24"/>
      <c r="S25" s="14"/>
      <c r="T25" s="62"/>
    </row>
    <row r="26" ht="65" customHeight="1" spans="2:20">
      <c r="B26" s="22"/>
      <c r="C26" s="22"/>
      <c r="D26" s="22"/>
      <c r="E26" s="22"/>
      <c r="F26" s="22"/>
      <c r="G26" s="22"/>
      <c r="H26" s="22"/>
      <c r="I26" s="22"/>
      <c r="J26" s="42"/>
      <c r="K26" s="43"/>
      <c r="L26" s="43"/>
      <c r="M26" s="43"/>
      <c r="N26" s="43"/>
      <c r="O26" s="44"/>
      <c r="P26" s="45"/>
      <c r="Q26" s="65"/>
      <c r="R26" s="24"/>
      <c r="S26" s="14"/>
      <c r="T26" s="62"/>
    </row>
    <row r="27" ht="72" customHeight="1" spans="2:20">
      <c r="B27" s="22"/>
      <c r="C27" s="22"/>
      <c r="D27" s="22"/>
      <c r="E27" s="22"/>
      <c r="F27" s="22"/>
      <c r="G27" s="22"/>
      <c r="H27" s="22"/>
      <c r="I27" s="22"/>
      <c r="J27" s="42"/>
      <c r="K27" s="43"/>
      <c r="L27" s="43"/>
      <c r="M27" s="43"/>
      <c r="N27" s="43"/>
      <c r="O27" s="44"/>
      <c r="P27" s="45"/>
      <c r="Q27" s="65"/>
      <c r="R27" s="24"/>
      <c r="S27" s="14"/>
      <c r="T27" s="62"/>
    </row>
    <row r="28" ht="41.25" customHeight="1" spans="2:20">
      <c r="B28" s="22"/>
      <c r="C28" s="22"/>
      <c r="D28" s="22"/>
      <c r="E28" s="22"/>
      <c r="F28" s="22"/>
      <c r="G28" s="22"/>
      <c r="H28" s="22"/>
      <c r="I28" s="22"/>
      <c r="J28" s="42"/>
      <c r="K28" s="43"/>
      <c r="L28" s="43"/>
      <c r="M28" s="43"/>
      <c r="N28" s="43"/>
      <c r="O28" s="44"/>
      <c r="P28" s="45"/>
      <c r="Q28" s="65"/>
      <c r="R28" s="24"/>
      <c r="S28" s="14"/>
      <c r="T28" s="62"/>
    </row>
    <row r="29" ht="41.25" customHeight="1" spans="2:20">
      <c r="B29" s="22"/>
      <c r="C29" s="22"/>
      <c r="D29" s="22"/>
      <c r="E29" s="22"/>
      <c r="F29" s="22"/>
      <c r="G29" s="22"/>
      <c r="H29" s="22"/>
      <c r="I29" s="22"/>
      <c r="J29" s="42"/>
      <c r="K29" s="43"/>
      <c r="L29" s="43"/>
      <c r="M29" s="43"/>
      <c r="N29" s="43"/>
      <c r="O29" s="44"/>
      <c r="P29" s="45"/>
      <c r="Q29" s="65"/>
      <c r="R29" s="24"/>
      <c r="S29" s="14"/>
      <c r="T29" s="62"/>
    </row>
    <row r="30" ht="41.25" customHeight="1" spans="2:20">
      <c r="B30" s="22"/>
      <c r="C30" s="22"/>
      <c r="D30" s="22"/>
      <c r="E30" s="22"/>
      <c r="F30" s="22"/>
      <c r="G30" s="22"/>
      <c r="H30" s="22"/>
      <c r="I30" s="22"/>
      <c r="J30" s="42"/>
      <c r="K30" s="43"/>
      <c r="L30" s="43"/>
      <c r="M30" s="43"/>
      <c r="N30" s="43"/>
      <c r="O30" s="44"/>
      <c r="P30" s="45"/>
      <c r="Q30" s="65"/>
      <c r="R30" s="24"/>
      <c r="S30" s="14"/>
      <c r="T30" s="62"/>
    </row>
    <row r="31" ht="29.25" customHeight="1" spans="2:19">
      <c r="B31" s="23" t="s">
        <v>57</v>
      </c>
      <c r="C31" s="23"/>
      <c r="D31" s="23"/>
      <c r="E31" s="23"/>
      <c r="F31" s="23"/>
      <c r="G31" s="23"/>
      <c r="H31" s="23"/>
      <c r="I31" s="23"/>
      <c r="J31" s="23"/>
      <c r="K31" s="23">
        <f t="shared" ref="K31:N31" si="0">COUNTIF(K13:K30,$R$24)</f>
        <v>0</v>
      </c>
      <c r="L31" s="23">
        <f t="shared" si="0"/>
        <v>1</v>
      </c>
      <c r="M31" s="23">
        <f t="shared" si="0"/>
        <v>1</v>
      </c>
      <c r="N31" s="23">
        <f t="shared" si="0"/>
        <v>0</v>
      </c>
      <c r="O31" s="23"/>
      <c r="P31" s="23"/>
      <c r="Q31" s="23"/>
      <c r="R31" s="24"/>
      <c r="S31" s="14"/>
    </row>
    <row r="32" ht="16.5" customHeight="1" spans="2:19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46" t="s">
        <v>182</v>
      </c>
      <c r="P32" s="46"/>
      <c r="Q32" s="46"/>
      <c r="R32" s="24"/>
      <c r="S32" s="14"/>
    </row>
    <row r="33" ht="51.75" customHeight="1" spans="2:19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P33" s="2" t="s">
        <v>183</v>
      </c>
      <c r="R33" s="24"/>
      <c r="S33" s="14"/>
    </row>
    <row r="34" ht="25.5" customHeight="1" spans="3:19">
      <c r="C34" s="2"/>
      <c r="J34" s="24"/>
      <c r="K34" s="24"/>
      <c r="L34" s="24"/>
      <c r="M34" s="24"/>
      <c r="N34" s="47"/>
      <c r="O34" s="46" t="s">
        <v>184</v>
      </c>
      <c r="P34" s="46"/>
      <c r="Q34" s="46"/>
      <c r="R34" s="24"/>
      <c r="S34" s="14"/>
    </row>
    <row r="35" ht="28.5" customHeight="1" spans="2:19">
      <c r="B35" s="25"/>
      <c r="C35" s="25"/>
      <c r="D35" s="25"/>
      <c r="E35" s="25"/>
      <c r="F35" s="25"/>
      <c r="G35" s="25"/>
      <c r="J35" s="24"/>
      <c r="K35" s="24"/>
      <c r="L35" s="24"/>
      <c r="M35" s="24"/>
      <c r="N35" s="47"/>
      <c r="O35" s="46" t="s">
        <v>185</v>
      </c>
      <c r="P35" s="46"/>
      <c r="Q35" s="46"/>
      <c r="R35" s="24"/>
      <c r="S35" s="14"/>
    </row>
    <row r="36" ht="42" customHeight="1" spans="2:19">
      <c r="B36" s="25"/>
      <c r="C36" s="25"/>
      <c r="D36" s="25"/>
      <c r="E36" s="25"/>
      <c r="F36" s="25"/>
      <c r="G36" s="25"/>
      <c r="J36" s="24"/>
      <c r="K36" s="24"/>
      <c r="L36" s="24"/>
      <c r="M36" s="24"/>
      <c r="N36" s="47"/>
      <c r="O36" s="46" t="s">
        <v>186</v>
      </c>
      <c r="P36" s="46"/>
      <c r="Q36" s="46"/>
      <c r="R36" s="24"/>
      <c r="S36" s="14"/>
    </row>
    <row r="37" ht="25.5" customHeight="1" spans="2:18">
      <c r="B37" s="24"/>
      <c r="C37" s="24"/>
      <c r="D37" s="24"/>
      <c r="E37" s="24"/>
      <c r="F37" s="12"/>
      <c r="G37" s="12"/>
      <c r="H37" s="12"/>
      <c r="I37" s="12"/>
      <c r="J37" s="24"/>
      <c r="K37" s="24"/>
      <c r="L37" s="24"/>
      <c r="M37" s="24"/>
      <c r="N37" s="24"/>
      <c r="O37" s="12"/>
      <c r="P37" s="24"/>
      <c r="Q37" s="24"/>
      <c r="R37" s="24"/>
    </row>
    <row r="41" ht="27" customHeight="1" spans="2:17">
      <c r="B41" s="26" t="s">
        <v>59</v>
      </c>
      <c r="C41" s="26"/>
      <c r="D41" s="26" t="s">
        <v>60</v>
      </c>
      <c r="E41" s="26"/>
      <c r="F41" s="26" t="s">
        <v>61</v>
      </c>
      <c r="G41" s="26"/>
      <c r="H41" s="26"/>
      <c r="I41" s="26"/>
      <c r="J41" s="26"/>
      <c r="K41" s="26"/>
      <c r="L41" s="26"/>
      <c r="M41" s="26"/>
      <c r="N41" s="26" t="s">
        <v>62</v>
      </c>
      <c r="O41" s="26"/>
      <c r="P41" s="26"/>
      <c r="Q41" s="26"/>
    </row>
    <row r="42" ht="23.25" customHeight="1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23.25" customHeight="1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48"/>
      <c r="O43" s="48"/>
      <c r="P43" s="48"/>
      <c r="Q43" s="48"/>
    </row>
    <row r="44" ht="23.25" customHeight="1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48"/>
      <c r="O44" s="48"/>
      <c r="P44" s="48"/>
      <c r="Q44" s="48"/>
    </row>
    <row r="45" spans="2:13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32.25" customHeight="1" spans="2:17">
      <c r="B46" s="29" t="s">
        <v>63</v>
      </c>
      <c r="C46" s="29"/>
      <c r="D46" s="30"/>
      <c r="E46" s="31"/>
      <c r="F46" s="31"/>
      <c r="G46" s="31"/>
      <c r="H46" s="32"/>
      <c r="I46" s="49" t="s">
        <v>64</v>
      </c>
      <c r="J46" s="50"/>
      <c r="K46" s="51"/>
      <c r="L46" s="51"/>
      <c r="M46" s="52"/>
      <c r="N46" s="53" t="s">
        <v>65</v>
      </c>
      <c r="O46" s="53"/>
      <c r="P46" s="54"/>
      <c r="Q46" s="66"/>
    </row>
    <row r="47" ht="32.25" customHeight="1" spans="2:17">
      <c r="B47" s="33" t="s">
        <v>66</v>
      </c>
      <c r="C47" s="33"/>
      <c r="D47" s="30"/>
      <c r="E47" s="31"/>
      <c r="F47" s="31"/>
      <c r="G47" s="31"/>
      <c r="H47" s="32"/>
      <c r="I47" s="55" t="s">
        <v>66</v>
      </c>
      <c r="J47" s="50"/>
      <c r="K47" s="51"/>
      <c r="L47" s="51"/>
      <c r="M47" s="52"/>
      <c r="N47" s="56" t="s">
        <v>66</v>
      </c>
      <c r="O47" s="57"/>
      <c r="P47" s="54"/>
      <c r="Q47" s="66"/>
    </row>
    <row r="48" ht="32.25" customHeight="1" spans="2:17">
      <c r="B48" s="29" t="s">
        <v>67</v>
      </c>
      <c r="C48" s="29"/>
      <c r="D48" s="30"/>
      <c r="E48" s="31"/>
      <c r="F48" s="31"/>
      <c r="G48" s="31"/>
      <c r="H48" s="32"/>
      <c r="I48" s="58" t="s">
        <v>67</v>
      </c>
      <c r="J48" s="50"/>
      <c r="K48" s="51"/>
      <c r="L48" s="51"/>
      <c r="M48" s="52"/>
      <c r="N48" s="56" t="s">
        <v>67</v>
      </c>
      <c r="O48" s="57"/>
      <c r="P48" s="54"/>
      <c r="Q48" s="66"/>
    </row>
    <row r="49" ht="24.75" customHeight="1" spans="17:17">
      <c r="Q49" s="67" t="s">
        <v>1</v>
      </c>
    </row>
    <row r="54" spans="15:15">
      <c r="O54" s="14"/>
    </row>
    <row r="69" hidden="1" spans="2:2">
      <c r="B69" s="2" t="s">
        <v>68</v>
      </c>
    </row>
    <row r="70" hidden="1" spans="2:2">
      <c r="B70" s="2" t="s">
        <v>69</v>
      </c>
    </row>
    <row r="71" hidden="1" spans="2:2">
      <c r="B71" s="2" t="s">
        <v>70</v>
      </c>
    </row>
    <row r="72" hidden="1" spans="2:2">
      <c r="B72" s="2" t="s">
        <v>71</v>
      </c>
    </row>
  </sheetData>
  <mergeCells count="102">
    <mergeCell ref="B2:C2"/>
    <mergeCell ref="D2:E2"/>
    <mergeCell ref="B3:C3"/>
    <mergeCell ref="D3:E3"/>
    <mergeCell ref="B4:C4"/>
    <mergeCell ref="D4:E4"/>
    <mergeCell ref="B7:D7"/>
    <mergeCell ref="E7:I7"/>
    <mergeCell ref="K7:Q7"/>
    <mergeCell ref="B9:D9"/>
    <mergeCell ref="E9:I9"/>
    <mergeCell ref="K9:Q9"/>
    <mergeCell ref="K11:N11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B31:J31"/>
    <mergeCell ref="O31:Q31"/>
    <mergeCell ref="O32:Q32"/>
    <mergeCell ref="O34:Q34"/>
    <mergeCell ref="O35:Q35"/>
    <mergeCell ref="B36:G36"/>
    <mergeCell ref="O36:Q36"/>
    <mergeCell ref="J37:N37"/>
    <mergeCell ref="B41:C41"/>
    <mergeCell ref="D41:E41"/>
    <mergeCell ref="F41:M41"/>
    <mergeCell ref="N41:Q41"/>
    <mergeCell ref="B42:C42"/>
    <mergeCell ref="D42:E42"/>
    <mergeCell ref="F42:M42"/>
    <mergeCell ref="N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6:C46"/>
    <mergeCell ref="D46:H46"/>
    <mergeCell ref="J46:M46"/>
    <mergeCell ref="N46:O46"/>
    <mergeCell ref="P46:Q46"/>
    <mergeCell ref="B47:C47"/>
    <mergeCell ref="D47:H47"/>
    <mergeCell ref="J47:M47"/>
    <mergeCell ref="N47:O47"/>
    <mergeCell ref="P47:Q47"/>
    <mergeCell ref="B48:C48"/>
    <mergeCell ref="D48:H48"/>
    <mergeCell ref="J48:M48"/>
    <mergeCell ref="N48:O48"/>
    <mergeCell ref="P48:Q48"/>
    <mergeCell ref="B11:B12"/>
    <mergeCell ref="B13:B15"/>
    <mergeCell ref="B16:B18"/>
    <mergeCell ref="B19:B21"/>
    <mergeCell ref="B22:B24"/>
    <mergeCell ref="B25:B27"/>
    <mergeCell ref="B28:B30"/>
    <mergeCell ref="C11:C12"/>
    <mergeCell ref="C13:C15"/>
    <mergeCell ref="C16:C18"/>
    <mergeCell ref="C19:C21"/>
    <mergeCell ref="C22:C24"/>
    <mergeCell ref="C25:C27"/>
    <mergeCell ref="C28:C30"/>
    <mergeCell ref="I11:I12"/>
    <mergeCell ref="I13:I15"/>
    <mergeCell ref="I16:I18"/>
    <mergeCell ref="I19:I21"/>
    <mergeCell ref="I22:I24"/>
    <mergeCell ref="I25:I27"/>
    <mergeCell ref="I28:I30"/>
    <mergeCell ref="J11:J12"/>
    <mergeCell ref="Q2:Q4"/>
    <mergeCell ref="F2:P4"/>
    <mergeCell ref="D11:H12"/>
    <mergeCell ref="O11:Q12"/>
    <mergeCell ref="D13:H15"/>
    <mergeCell ref="D16:H18"/>
    <mergeCell ref="D19:H21"/>
    <mergeCell ref="D22:H24"/>
    <mergeCell ref="D25:H27"/>
    <mergeCell ref="D28:H30"/>
  </mergeCells>
  <dataValidations count="13">
    <dataValidation allowBlank="1" showInputMessage="1" showErrorMessage="1" prompt="Diligencia nombre y cargo del auditor" sqref="K7"/>
    <dataValidation allowBlank="1" showInputMessage="1" showErrorMessage="1" prompt="Diligencia nombre y cargo del auditado" sqref="K9"/>
    <dataValidation allowBlank="1" showInputMessage="1" showErrorMessage="1" prompt="Formule las preguntas a realizar al auditado, teniendo en cuenta los Requisitos asociados (Norma, ley, resolución, documentos organizacionales) que aplican para el proceso objeto de auditoría." sqref="D11"/>
    <dataValidation allowBlank="1" showInputMessage="1" showErrorMessage="1" promptTitle="Conformidad" prompt="Marque con una X según corresponda" sqref="K12"/>
    <dataValidation allowBlank="1" showInputMessage="1" showErrorMessage="1" promptTitle="No Conformidad:" prompt="Marque con una X según corresponda" sqref="L12"/>
    <dataValidation allowBlank="1" showInputMessage="1" showErrorMessage="1" promptTitle="Observación: " prompt="Marque con una X según corresponda." sqref="M12"/>
    <dataValidation allowBlank="1" showInputMessage="1" showErrorMessage="1" promptTitle="Fortaleza:" prompt="Marque con una X según corresponda." sqref="N12"/>
    <dataValidation type="list" allowBlank="1" showInputMessage="1" showErrorMessage="1" sqref="C13 C16 C19 C22 C25 C28">
      <formula1>$B$69:$B$72</formula1>
    </dataValidation>
    <dataValidation allowBlank="1" showInputMessage="1" showErrorMessage="1" promptTitle="Total" prompt="Total de hallazgos" sqref="B31"/>
    <dataValidation allowBlank="1" showInputMessage="1" showErrorMessage="1" prompt="Identificar la etapa del ciclo PHVA" sqref="C11:C12"/>
    <dataValidation allowBlank="1" showInputMessage="1" showErrorMessage="1" prompt="Seleccionar de la lista desplegable el requisito asociado&#10;" sqref="I11:I12"/>
    <dataValidation allowBlank="1" showInputMessage="1" showErrorMessage="1" prompt="Diligenciar requisito, numeral y norma o documento aplicable" sqref="J11:J12"/>
    <dataValidation allowBlank="1" showInputMessage="1" showErrorMessage="1" prompt="Escriba los comentarios de las respuestas dadas por el auditor. Este comentario debe tomarse como referencia para la redacción de la Conformidad, no conformidad, observación y/o fortaleza que aplique para la actividad. " sqref="O11:Q12"/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Planificación</vt:lpstr>
      <vt:lpstr>Riesgos</vt:lpstr>
      <vt:lpstr>G Humana</vt:lpstr>
      <vt:lpstr>Terceros</vt:lpstr>
      <vt:lpstr>Infraestructura</vt:lpstr>
      <vt:lpstr>Sedes</vt:lpstr>
      <vt:lpstr>Desarrollo</vt:lpstr>
      <vt:lpstr>Fisica</vt:lpstr>
      <vt:lpstr>Incidentes</vt:lpstr>
      <vt:lpstr>Continuidad</vt:lpstr>
      <vt:lpstr>Seguimiento</vt:lpstr>
      <vt:lpstr>Mejora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SANCHEZ</dc:creator>
  <cp:lastModifiedBy>mauricio mantilla</cp:lastModifiedBy>
  <dcterms:created xsi:type="dcterms:W3CDTF">2015-06-05T18:19:00Z</dcterms:created>
  <dcterms:modified xsi:type="dcterms:W3CDTF">2025-12-29T17:57:33Z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296A8EA53B45431CB249784DC8C31B54_12</vt:lpwstr>
  </property>
  <property fmtid="{D5CDD505-2E9C-101B-9397-08002B2CF9AE}" pid="3" name="KSOProductBuildVer">
    <vt:lpwstr>2058-12.2.0.23155</vt:lpwstr>
  </property>
</Properties>
</file>
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guaran\Downloads\FORMATOS DE TECNOLOGIA\MT\"/>
    </mc:Choice>
  </mc:AlternateContent>
  <xr:revisionPtr revIDLastSave="0" documentId="13_ncr:1_{937EB3C8-AB1D-4957-ADF3-F413F70F8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Priorización" sheetId="2" r:id="rId1"/>
    <sheet name="Metodologi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</calcChain>
</file>

<file path=xl/sharedStrings.xml><?xml version="1.0" encoding="utf-8"?>
<sst xmlns="http://schemas.openxmlformats.org/spreadsheetml/2006/main" count="39" uniqueCount="33">
  <si>
    <t>Proceso / Área</t>
  </si>
  <si>
    <t>Criticidad (1-5)</t>
  </si>
  <si>
    <t>Auditorías Previas (1-5)</t>
  </si>
  <si>
    <t>Cambios (1-5)</t>
  </si>
  <si>
    <t>Incidentes (1-5)</t>
  </si>
  <si>
    <t>Legales (1-5)</t>
  </si>
  <si>
    <t>Relevancia (1-5)</t>
  </si>
  <si>
    <t>Riesgo Residual (1-5)</t>
  </si>
  <si>
    <t>Puntaje Final</t>
  </si>
  <si>
    <t>Prioridad</t>
  </si>
  <si>
    <t>Direccionamiento Estratégico</t>
  </si>
  <si>
    <t>Gestión Étnica y Cultural</t>
  </si>
  <si>
    <t>Gestión de la Calidad y Riesgos</t>
  </si>
  <si>
    <t>Comunicaciones</t>
  </si>
  <si>
    <t>Gestión del Aseguramiento</t>
  </si>
  <si>
    <t>Gestión del Riesgo en Salud</t>
  </si>
  <si>
    <t>Administrativa y Financiera</t>
  </si>
  <si>
    <t>Tecnología</t>
  </si>
  <si>
    <t>Auditoría</t>
  </si>
  <si>
    <t>Gestión Documental</t>
  </si>
  <si>
    <t>Gestión Humana</t>
  </si>
  <si>
    <t>Asesoría Jurídica</t>
  </si>
  <si>
    <t>Actuaria</t>
  </si>
  <si>
    <t>MATRIZ PRIORIZACION AUDITORIAS EPSI ANAS WAYUU</t>
  </si>
  <si>
    <t>Código:</t>
  </si>
  <si>
    <t>Versión:</t>
  </si>
  <si>
    <t xml:space="preserve">Página: </t>
  </si>
  <si>
    <t>FO-860-26</t>
  </si>
  <si>
    <t xml:space="preserve">1 de 1 </t>
  </si>
  <si>
    <r>
      <rPr>
        <b/>
        <sz val="12"/>
        <color theme="1"/>
        <rFont val="Arial"/>
        <family val="2"/>
      </rPr>
      <t>Metodología de Calificación y Ponderación para la Priorización del Programa de Auditorías del SGSI</t>
    </r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 xml:space="preserve">Criterios (1= bajo, 5 = alto):
</t>
    </r>
    <r>
      <rPr>
        <sz val="12"/>
        <color theme="1"/>
        <rFont val="Arial"/>
        <family val="2"/>
      </rPr>
      <t xml:space="preserve">Cada proceso, activo o área a auditar se evalúa con base en 7 criterios, asignando una calificación de 1 a 5:
1 = Bajo impacto / Bajo riesgo
5 = Alto impacto / Alto riesgo
</t>
    </r>
    <r>
      <rPr>
        <b/>
        <sz val="12"/>
        <color theme="1"/>
        <rFont val="Arial"/>
        <family val="2"/>
      </rPr>
      <t xml:space="preserve">
Criterios:
</t>
    </r>
    <r>
      <rPr>
        <sz val="12"/>
        <color theme="1"/>
        <rFont val="Arial"/>
        <family val="2"/>
      </rPr>
      <t xml:space="preserve">1. Criticidad del proceso o activo
2. Resultados de auditorías previas
3. Cambios significativos
4. Incidentes de seguridad
5. Requisitos legales/regulatorios
6. Relevancia estratégica
7. Riesgo residual
</t>
    </r>
    <r>
      <rPr>
        <b/>
        <sz val="12"/>
        <color theme="1"/>
        <rFont val="Arial"/>
        <family val="2"/>
      </rPr>
      <t xml:space="preserve">
Metodología:
</t>
    </r>
    <r>
      <rPr>
        <sz val="12"/>
        <color theme="1"/>
        <rFont val="Arial"/>
        <family val="2"/>
      </rPr>
      <t xml:space="preserve">- Se asigna un peso (ponderación) a cada criterio según su importancia.
- La puntuación final se calcula con: SUMA(Calificación * Peso)
- Los procesos se priorizan según su puntuación total.
</t>
    </r>
    <r>
      <rPr>
        <b/>
        <sz val="12"/>
        <color theme="1"/>
        <rFont val="Arial"/>
        <family val="2"/>
      </rPr>
      <t xml:space="preserve">Criterios y ponderaciones sugeridas: </t>
    </r>
    <r>
      <rPr>
        <sz val="12"/>
        <color theme="1"/>
        <rFont val="Arial"/>
        <family val="2"/>
      </rPr>
      <t xml:space="preserve">
1. Criticidad del proceso o activo (20%)
2. Resultados de auditorías previas (15%)
3. Cambios significativos (15%)
4. Incidentes de seguridad (20%)
5. Requisitos legales/regulatorios (10%)
6. Relevancia estratégica (10%)
7. Riesgo residual (10%)
</t>
    </r>
    <r>
      <rPr>
        <b/>
        <sz val="12"/>
        <color theme="1"/>
        <rFont val="Arial"/>
        <family val="2"/>
      </rPr>
      <t>Interpretación del puntaje final:</t>
    </r>
    <r>
      <rPr>
        <sz val="12"/>
        <color theme="1"/>
        <rFont val="Arial"/>
        <family val="2"/>
      </rPr>
      <t xml:space="preserve">
4.0 - 5.0 = Alta prioridad
3.0 - 3.9 = Media prioridad
1.0 - 2.9 = Baja prioridad
</t>
    </r>
  </si>
  <si>
    <t>METODOLOGIA</t>
  </si>
  <si>
    <t>1.0-30-04-25</t>
  </si>
  <si>
    <t>MT-860-05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</si>
</sst>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9"/>
      <color theme="1"/>
      <name val="Arial"/>
      <family val="2"/>
    </font>
    <font>
      <b/>
      <sz val="11"/>
      <color theme="0" tint="-0.499984740745262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640002</xdr:colOff>
      <xdr:row>0</xdr:row>
      <xdr:rowOff>0</xdr:rowOff>
    </xdr:from>
    <xdr:to>
      <xdr:col>11</xdr:col>
      <xdr:colOff>609599</xdr:colOff>
      <xdr:row>3</xdr:row>
      <xdr:rowOff>26442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5940D6-80A7-97DF-83D0-38A920CB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0577" y="0"/>
          <a:ext cx="1160222" cy="125516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14</xdr:row>
      <xdr:rowOff>19050</xdr:rowOff>
    </xdr:from>
    <xdr:to>
      <xdr:col>0</xdr:col>
      <xdr:colOff>422417</xdr:colOff>
      <xdr:row>18</xdr:row>
      <xdr:rowOff>9156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73DB65-F2D5-61CD-78A1-15CC3D2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657725"/>
          <a:ext cx="365267" cy="1209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552450</xdr:colOff>
      <xdr:row>0</xdr:row>
      <xdr:rowOff>0</xdr:rowOff>
    </xdr:from>
    <xdr:to>
      <xdr:col>19</xdr:col>
      <xdr:colOff>485774</xdr:colOff>
      <xdr:row>3</xdr:row>
      <xdr:rowOff>5471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BF8284-9AC7-A137-1C81-C54591F3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0"/>
          <a:ext cx="1114424" cy="120562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</xdr:row>
      <xdr:rowOff>93747</xdr:rowOff>
    </xdr:from>
    <xdr:to>
      <xdr:col>0</xdr:col>
      <xdr:colOff>428625</xdr:colOff>
      <xdr:row>11</xdr:row>
      <xdr:rowOff>180605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A4137F-9958-0B94-1902-CAF256584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780297"/>
          <a:ext cx="371475" cy="1229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0"/>
  <sheetViews>
    <sheetView showGridLines="0" tabSelected="1" workbookViewId="0">
      <selection activeCell="D21" sqref="D21"/>
    </sheetView>
  </sheetViews>
  <sheetFormatPr baseColWidth="10" defaultColWidth="8.85546875" defaultRowHeight="15" x14ac:dyDescent="0.25"/>
  <cols>
    <col min="2" max="2" width="20" customWidth="1"/>
    <col min="3" max="3" width="10.5703125" customWidth="1"/>
    <col min="4" max="4" width="12.5703125" style="1" customWidth="1"/>
    <col min="5" max="5" width="25.5703125" style="1" customWidth="1"/>
    <col min="6" max="9" width="20" style="1" customWidth="1"/>
    <col min="10" max="10" width="25.85546875" style="1" customWidth="1"/>
    <col min="11" max="11" width="17.85546875" style="1" customWidth="1"/>
    <col min="12" max="12" width="18.42578125" style="1" customWidth="1"/>
  </cols>
  <sheetData>
    <row r="1" spans="2:12" ht="32.25" customHeight="1" x14ac:dyDescent="0.25">
      <c r="B1" s="7" t="s">
        <v>24</v>
      </c>
      <c r="C1" s="14" t="s">
        <v>32</v>
      </c>
      <c r="D1" s="15"/>
      <c r="E1" s="11" t="s">
        <v>23</v>
      </c>
      <c r="F1" s="11"/>
      <c r="G1" s="11"/>
      <c r="H1" s="11"/>
      <c r="I1" s="11"/>
      <c r="J1" s="11"/>
      <c r="K1" s="10"/>
      <c r="L1" s="10"/>
    </row>
    <row r="2" spans="2:12" ht="32.25" customHeight="1" x14ac:dyDescent="0.25">
      <c r="B2" s="7" t="s">
        <v>25</v>
      </c>
      <c r="C2" s="14" t="s">
        <v>31</v>
      </c>
      <c r="D2" s="15"/>
      <c r="E2" s="11"/>
      <c r="F2" s="11"/>
      <c r="G2" s="11"/>
      <c r="H2" s="11"/>
      <c r="I2" s="11"/>
      <c r="J2" s="11"/>
      <c r="K2" s="10"/>
      <c r="L2" s="10"/>
    </row>
    <row r="3" spans="2:12" ht="32.25" customHeight="1" x14ac:dyDescent="0.25">
      <c r="B3" s="7" t="s">
        <v>26</v>
      </c>
      <c r="C3" s="14" t="s">
        <v>28</v>
      </c>
      <c r="D3" s="15"/>
      <c r="E3" s="11"/>
      <c r="F3" s="11"/>
      <c r="G3" s="11"/>
      <c r="H3" s="11"/>
      <c r="I3" s="11"/>
      <c r="J3" s="11"/>
      <c r="K3" s="10"/>
      <c r="L3" s="10"/>
    </row>
    <row r="5" spans="2:12" s="2" customFormat="1" ht="37.5" customHeight="1" x14ac:dyDescent="0.25">
      <c r="B5" s="16" t="s">
        <v>0</v>
      </c>
      <c r="C5" s="17"/>
      <c r="D5" s="6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</row>
    <row r="6" spans="2:12" s="4" customFormat="1" ht="24" customHeight="1" x14ac:dyDescent="0.25">
      <c r="B6" s="12" t="s">
        <v>10</v>
      </c>
      <c r="C6" s="13"/>
      <c r="D6" s="5">
        <v>5</v>
      </c>
      <c r="E6" s="5">
        <v>4</v>
      </c>
      <c r="F6" s="5">
        <v>3</v>
      </c>
      <c r="G6" s="5">
        <v>3</v>
      </c>
      <c r="H6" s="5">
        <v>5</v>
      </c>
      <c r="I6" s="5">
        <v>5</v>
      </c>
      <c r="J6" s="5">
        <v>4</v>
      </c>
      <c r="K6" s="5">
        <f t="shared" ref="K6:K18" si="0">D6*0.2 + E6*0.15 + F6*0.15 + G6*0.2 + H6*0.1 + I6*0.1 + J6*0.1</f>
        <v>4.05</v>
      </c>
      <c r="L6" s="5" t="str">
        <f t="shared" ref="L6:L18" si="1">IF(K6&gt;=4,"Alta",IF(K6&gt;=3,"Media","Baja"))</f>
        <v>Alta</v>
      </c>
    </row>
    <row r="7" spans="2:12" s="4" customFormat="1" ht="24" customHeight="1" x14ac:dyDescent="0.25">
      <c r="B7" s="12" t="s">
        <v>11</v>
      </c>
      <c r="C7" s="13"/>
      <c r="D7" s="5">
        <v>3</v>
      </c>
      <c r="E7" s="5">
        <v>3</v>
      </c>
      <c r="F7" s="5">
        <v>2</v>
      </c>
      <c r="G7" s="5">
        <v>1</v>
      </c>
      <c r="H7" s="5">
        <v>3</v>
      </c>
      <c r="I7" s="5">
        <v>4</v>
      </c>
      <c r="J7" s="5">
        <v>3</v>
      </c>
      <c r="K7" s="5">
        <f t="shared" si="0"/>
        <v>2.5499999999999998</v>
      </c>
      <c r="L7" s="5" t="str">
        <f t="shared" si="1"/>
        <v>Baja</v>
      </c>
    </row>
    <row r="8" spans="2:12" s="4" customFormat="1" ht="24" customHeight="1" x14ac:dyDescent="0.25">
      <c r="B8" s="12" t="s">
        <v>12</v>
      </c>
      <c r="C8" s="13"/>
      <c r="D8" s="5">
        <v>5</v>
      </c>
      <c r="E8" s="5">
        <v>5</v>
      </c>
      <c r="F8" s="5">
        <v>4</v>
      </c>
      <c r="G8" s="5">
        <v>4</v>
      </c>
      <c r="H8" s="5">
        <v>5</v>
      </c>
      <c r="I8" s="5">
        <v>5</v>
      </c>
      <c r="J8" s="5">
        <v>5</v>
      </c>
      <c r="K8" s="5">
        <f t="shared" si="0"/>
        <v>4.6500000000000004</v>
      </c>
      <c r="L8" s="5" t="str">
        <f t="shared" si="1"/>
        <v>Alta</v>
      </c>
    </row>
    <row r="9" spans="2:12" s="4" customFormat="1" ht="24" customHeight="1" x14ac:dyDescent="0.25">
      <c r="B9" s="12" t="s">
        <v>13</v>
      </c>
      <c r="C9" s="13"/>
      <c r="D9" s="5">
        <v>3</v>
      </c>
      <c r="E9" s="5">
        <v>2</v>
      </c>
      <c r="F9" s="5">
        <v>2</v>
      </c>
      <c r="G9" s="5">
        <v>1</v>
      </c>
      <c r="H9" s="5">
        <v>2</v>
      </c>
      <c r="I9" s="5">
        <v>3</v>
      </c>
      <c r="J9" s="5">
        <v>2</v>
      </c>
      <c r="K9" s="5">
        <f t="shared" si="0"/>
        <v>2.1</v>
      </c>
      <c r="L9" s="5" t="str">
        <f t="shared" si="1"/>
        <v>Baja</v>
      </c>
    </row>
    <row r="10" spans="2:12" s="4" customFormat="1" ht="24" customHeight="1" x14ac:dyDescent="0.25">
      <c r="B10" s="12" t="s">
        <v>14</v>
      </c>
      <c r="C10" s="13"/>
      <c r="D10" s="5">
        <v>5</v>
      </c>
      <c r="E10" s="5">
        <v>4</v>
      </c>
      <c r="F10" s="5">
        <v>3</v>
      </c>
      <c r="G10" s="5">
        <v>4</v>
      </c>
      <c r="H10" s="5">
        <v>5</v>
      </c>
      <c r="I10" s="5">
        <v>5</v>
      </c>
      <c r="J10" s="5">
        <v>4</v>
      </c>
      <c r="K10" s="5">
        <f t="shared" si="0"/>
        <v>4.25</v>
      </c>
      <c r="L10" s="5" t="str">
        <f t="shared" si="1"/>
        <v>Alta</v>
      </c>
    </row>
    <row r="11" spans="2:12" s="4" customFormat="1" ht="24" customHeight="1" x14ac:dyDescent="0.25">
      <c r="B11" s="12" t="s">
        <v>15</v>
      </c>
      <c r="C11" s="13"/>
      <c r="D11" s="5">
        <v>5</v>
      </c>
      <c r="E11" s="5">
        <v>4</v>
      </c>
      <c r="F11" s="5">
        <v>3</v>
      </c>
      <c r="G11" s="5">
        <v>4</v>
      </c>
      <c r="H11" s="5">
        <v>5</v>
      </c>
      <c r="I11" s="5">
        <v>5</v>
      </c>
      <c r="J11" s="5">
        <v>4</v>
      </c>
      <c r="K11" s="5">
        <f t="shared" si="0"/>
        <v>4.25</v>
      </c>
      <c r="L11" s="5" t="str">
        <f t="shared" si="1"/>
        <v>Alta</v>
      </c>
    </row>
    <row r="12" spans="2:12" s="4" customFormat="1" ht="24" customHeight="1" x14ac:dyDescent="0.25">
      <c r="B12" s="12" t="s">
        <v>16</v>
      </c>
      <c r="C12" s="13"/>
      <c r="D12" s="5">
        <v>4</v>
      </c>
      <c r="E12" s="5">
        <v>3</v>
      </c>
      <c r="F12" s="5">
        <v>3</v>
      </c>
      <c r="G12" s="5">
        <v>2</v>
      </c>
      <c r="H12" s="5">
        <v>4</v>
      </c>
      <c r="I12" s="5">
        <v>4</v>
      </c>
      <c r="J12" s="5">
        <v>3</v>
      </c>
      <c r="K12" s="5">
        <f t="shared" si="0"/>
        <v>3.2</v>
      </c>
      <c r="L12" s="5" t="str">
        <f t="shared" si="1"/>
        <v>Media</v>
      </c>
    </row>
    <row r="13" spans="2:12" s="4" customFormat="1" ht="24" customHeight="1" x14ac:dyDescent="0.25">
      <c r="B13" s="12" t="s">
        <v>17</v>
      </c>
      <c r="C13" s="13"/>
      <c r="D13" s="5">
        <v>5</v>
      </c>
      <c r="E13" s="5">
        <v>4</v>
      </c>
      <c r="F13" s="5">
        <v>4</v>
      </c>
      <c r="G13" s="5">
        <v>5</v>
      </c>
      <c r="H13" s="5">
        <v>5</v>
      </c>
      <c r="I13" s="5">
        <v>5</v>
      </c>
      <c r="J13" s="5">
        <v>5</v>
      </c>
      <c r="K13" s="5">
        <f t="shared" si="0"/>
        <v>4.7</v>
      </c>
      <c r="L13" s="5" t="str">
        <f t="shared" si="1"/>
        <v>Alta</v>
      </c>
    </row>
    <row r="14" spans="2:12" s="4" customFormat="1" ht="24" customHeight="1" x14ac:dyDescent="0.25">
      <c r="B14" s="12" t="s">
        <v>18</v>
      </c>
      <c r="C14" s="13"/>
      <c r="D14" s="5">
        <v>4</v>
      </c>
      <c r="E14" s="5">
        <v>4</v>
      </c>
      <c r="F14" s="5">
        <v>3</v>
      </c>
      <c r="G14" s="5">
        <v>2</v>
      </c>
      <c r="H14" s="5">
        <v>4</v>
      </c>
      <c r="I14" s="5">
        <v>4</v>
      </c>
      <c r="J14" s="5">
        <v>4</v>
      </c>
      <c r="K14" s="5">
        <f t="shared" si="0"/>
        <v>3.4499999999999997</v>
      </c>
      <c r="L14" s="5" t="str">
        <f t="shared" si="1"/>
        <v>Media</v>
      </c>
    </row>
    <row r="15" spans="2:12" s="4" customFormat="1" ht="24" customHeight="1" x14ac:dyDescent="0.25">
      <c r="B15" s="12" t="s">
        <v>19</v>
      </c>
      <c r="C15" s="13"/>
      <c r="D15" s="5">
        <v>4</v>
      </c>
      <c r="E15" s="5">
        <v>3</v>
      </c>
      <c r="F15" s="5">
        <v>2</v>
      </c>
      <c r="G15" s="5">
        <v>1</v>
      </c>
      <c r="H15" s="5">
        <v>4</v>
      </c>
      <c r="I15" s="5">
        <v>3</v>
      </c>
      <c r="J15" s="5">
        <v>3</v>
      </c>
      <c r="K15" s="5">
        <f t="shared" si="0"/>
        <v>2.75</v>
      </c>
      <c r="L15" s="5" t="str">
        <f t="shared" si="1"/>
        <v>Baja</v>
      </c>
    </row>
    <row r="16" spans="2:12" s="4" customFormat="1" ht="24" customHeight="1" x14ac:dyDescent="0.25">
      <c r="B16" s="12" t="s">
        <v>20</v>
      </c>
      <c r="C16" s="13"/>
      <c r="D16" s="5">
        <v>4</v>
      </c>
      <c r="E16" s="5">
        <v>3</v>
      </c>
      <c r="F16" s="5">
        <v>2</v>
      </c>
      <c r="G16" s="5">
        <v>1</v>
      </c>
      <c r="H16" s="5">
        <v>4</v>
      </c>
      <c r="I16" s="5">
        <v>4</v>
      </c>
      <c r="J16" s="5">
        <v>3</v>
      </c>
      <c r="K16" s="5">
        <f t="shared" si="0"/>
        <v>2.8499999999999996</v>
      </c>
      <c r="L16" s="5" t="str">
        <f t="shared" si="1"/>
        <v>Baja</v>
      </c>
    </row>
    <row r="17" spans="2:12" s="4" customFormat="1" ht="24" customHeight="1" x14ac:dyDescent="0.25">
      <c r="B17" s="12" t="s">
        <v>21</v>
      </c>
      <c r="C17" s="13"/>
      <c r="D17" s="5">
        <v>4</v>
      </c>
      <c r="E17" s="5">
        <v>4</v>
      </c>
      <c r="F17" s="5">
        <v>3</v>
      </c>
      <c r="G17" s="5">
        <v>1</v>
      </c>
      <c r="H17" s="5">
        <v>5</v>
      </c>
      <c r="I17" s="5">
        <v>4</v>
      </c>
      <c r="J17" s="5">
        <v>3</v>
      </c>
      <c r="K17" s="5">
        <f t="shared" si="0"/>
        <v>3.25</v>
      </c>
      <c r="L17" s="5" t="str">
        <f t="shared" si="1"/>
        <v>Media</v>
      </c>
    </row>
    <row r="18" spans="2:12" s="4" customFormat="1" ht="24" customHeight="1" x14ac:dyDescent="0.25">
      <c r="B18" s="12" t="s">
        <v>22</v>
      </c>
      <c r="C18" s="13"/>
      <c r="D18" s="5">
        <v>4</v>
      </c>
      <c r="E18" s="5">
        <v>3</v>
      </c>
      <c r="F18" s="5">
        <v>2</v>
      </c>
      <c r="G18" s="5">
        <v>1</v>
      </c>
      <c r="H18" s="5">
        <v>3</v>
      </c>
      <c r="I18" s="5">
        <v>4</v>
      </c>
      <c r="J18" s="5">
        <v>3</v>
      </c>
      <c r="K18" s="5">
        <f t="shared" si="0"/>
        <v>2.75</v>
      </c>
      <c r="L18" s="5" t="str">
        <f t="shared" si="1"/>
        <v>Baja</v>
      </c>
    </row>
    <row r="20" spans="2:12" x14ac:dyDescent="0.25">
      <c r="L20" s="8" t="s">
        <v>27</v>
      </c>
    </row>
  </sheetData>
  <mergeCells count="19">
    <mergeCell ref="B17:C17"/>
    <mergeCell ref="B18:C18"/>
    <mergeCell ref="C1:D1"/>
    <mergeCell ref="C2:D2"/>
    <mergeCell ref="C3:D3"/>
    <mergeCell ref="B8:C8"/>
    <mergeCell ref="B9:C9"/>
    <mergeCell ref="B10:C10"/>
    <mergeCell ref="B11:C11"/>
    <mergeCell ref="B12:C12"/>
    <mergeCell ref="B13:C13"/>
    <mergeCell ref="B5:C5"/>
    <mergeCell ref="B6:C6"/>
    <mergeCell ref="B7:C7"/>
    <mergeCell ref="K1:L3"/>
    <mergeCell ref="E1:J3"/>
    <mergeCell ref="B14:C14"/>
    <mergeCell ref="B15:C15"/>
    <mergeCell ref="B16:C1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2"/>
  <sheetViews>
    <sheetView showGridLines="0" zoomScaleNormal="100" workbookViewId="0">
      <selection activeCell="G15" sqref="G15"/>
    </sheetView>
  </sheetViews>
  <sheetFormatPr baseColWidth="10" defaultColWidth="8.85546875" defaultRowHeight="15" x14ac:dyDescent="0.25"/>
  <cols>
    <col min="1" max="1" width="8" customWidth="1"/>
    <col min="2" max="2" width="15.85546875" customWidth="1"/>
    <col min="3" max="3" width="18.5703125" customWidth="1"/>
    <col min="20" max="20" width="7.5703125" customWidth="1"/>
  </cols>
  <sheetData>
    <row r="1" spans="2:21" ht="31.5" customHeight="1" x14ac:dyDescent="0.25">
      <c r="B1" s="7" t="s">
        <v>24</v>
      </c>
      <c r="C1" s="9" t="s">
        <v>32</v>
      </c>
      <c r="D1" s="18" t="s">
        <v>30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0"/>
      <c r="S1" s="10"/>
      <c r="T1" s="10"/>
      <c r="U1" s="10"/>
    </row>
    <row r="2" spans="2:21" ht="31.5" customHeight="1" x14ac:dyDescent="0.25">
      <c r="B2" s="7" t="s">
        <v>25</v>
      </c>
      <c r="C2" s="9" t="s">
        <v>31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0"/>
      <c r="S2" s="10"/>
      <c r="T2" s="10"/>
      <c r="U2" s="10"/>
    </row>
    <row r="3" spans="2:21" ht="31.5" customHeight="1" x14ac:dyDescent="0.25">
      <c r="B3" s="7" t="s">
        <v>26</v>
      </c>
      <c r="C3" s="9" t="s">
        <v>28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0"/>
      <c r="S3" s="10"/>
      <c r="T3" s="10"/>
      <c r="U3" s="10"/>
    </row>
    <row r="4" spans="2:21" ht="22.5" customHeight="1" x14ac:dyDescent="0.25"/>
    <row r="5" spans="2:21" ht="409.5" customHeight="1" x14ac:dyDescent="0.25">
      <c r="B5" s="19" t="s">
        <v>29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2:21" x14ac:dyDescent="0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2:21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21" x14ac:dyDescent="0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2:21" x14ac:dyDescent="0.25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2:21" x14ac:dyDescent="0.2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2:21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2:21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</sheetData>
  <mergeCells count="3">
    <mergeCell ref="D1:Q3"/>
    <mergeCell ref="R1:U3"/>
    <mergeCell ref="B5:U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Priorización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Lacides Iguaran</cp:lastModifiedBy>
  <dcterms:created xsi:type="dcterms:W3CDTF">2025-11-18T00:48:10Z</dcterms:created>
  <dcterms:modified xsi:type="dcterms:W3CDTF">2025-11-20T14:57:20Z</dcterms:modified>
</cp:coreProperties>
</file>